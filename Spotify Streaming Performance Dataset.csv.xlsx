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thar\Downloads\"/>
    </mc:Choice>
  </mc:AlternateContent>
  <xr:revisionPtr revIDLastSave="0" documentId="13_ncr:1_{12C8EEE1-FF34-4832-89F1-3DD67EBE8E69}" xr6:coauthVersionLast="47" xr6:coauthVersionMax="47" xr10:uidLastSave="{00000000-0000-0000-0000-000000000000}"/>
  <bookViews>
    <workbookView xWindow="-108" yWindow="-108" windowWidth="23256" windowHeight="12456" xr2:uid="{5519C0E1-2F12-4627-AA9D-C3BB1D959092}"/>
  </bookViews>
  <sheets>
    <sheet name="Dashboard" sheetId="2" r:id="rId1"/>
    <sheet name="Spotify Streaming Performance D" sheetId="1" r:id="rId2"/>
    <sheet name="Sum,AvgStrm+collab%+CntOfArtist" sheetId="3" r:id="rId3"/>
    <sheet name="Stream Per Artist" sheetId="5" r:id="rId4"/>
    <sheet name="Stream Per Genre" sheetId="6" r:id="rId5"/>
    <sheet name="Top Artists" sheetId="7" r:id="rId6"/>
    <sheet name="Stream Per Country" sheetId="8" r:id="rId7"/>
    <sheet name="Group vs Solo Analysis" sheetId="4" r:id="rId8"/>
    <sheet name="Year Analysis" sheetId="9" r:id="rId9"/>
    <sheet name="Language based analysis" sheetId="10" r:id="rId10"/>
  </sheets>
  <definedNames>
    <definedName name="_xlnm._FilterDatabase" localSheetId="1" hidden="1">'Spotify Streaming Performance D'!$A$1:$M$1</definedName>
    <definedName name="Slicer_Artist_Name2">#N/A</definedName>
    <definedName name="Slicer_Artist_Type">#N/A</definedName>
    <definedName name="Slicer_Country_of_Origin">#N/A</definedName>
    <definedName name="Slicer_Country_of_Origin1">#N/A</definedName>
    <definedName name="Slicer_Primary_Genre1">#N/A</definedName>
    <definedName name="Slicer_Primary_Language">#N/A</definedName>
    <definedName name="Slicer_Sex">#N/A</definedName>
    <definedName name="Slicer_Sex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6" l="1"/>
  <c r="G21" i="9"/>
  <c r="C4" i="3"/>
  <c r="C12" i="3"/>
  <c r="C8" i="3"/>
  <c r="C16" i="3"/>
  <c r="D2" i="5"/>
</calcChain>
</file>

<file path=xl/sharedStrings.xml><?xml version="1.0" encoding="utf-8"?>
<sst xmlns="http://schemas.openxmlformats.org/spreadsheetml/2006/main" count="4664" uniqueCount="607">
  <si>
    <t>Artist Name</t>
  </si>
  <si>
    <t>Sex</t>
  </si>
  <si>
    <t>Country of Origin</t>
  </si>
  <si>
    <t>Primary Language</t>
  </si>
  <si>
    <t>Primary Genre</t>
  </si>
  <si>
    <t xml:space="preserve"> Artist Type</t>
  </si>
  <si>
    <t>Debut Year</t>
  </si>
  <si>
    <t>Total Streams (in millions)</t>
  </si>
  <si>
    <t>Lead Streams (in millions)</t>
  </si>
  <si>
    <t>Feature Streams (in millions)</t>
  </si>
  <si>
    <t>Solo Streams (in millions)</t>
  </si>
  <si>
    <t>% of Solo Streams</t>
  </si>
  <si>
    <t>Collaborative Streams (in millions)</t>
  </si>
  <si>
    <t>% of Collaborative Streams</t>
  </si>
  <si>
    <t>Drake</t>
  </si>
  <si>
    <t>Male</t>
  </si>
  <si>
    <t>Canada</t>
  </si>
  <si>
    <t>English</t>
  </si>
  <si>
    <t>Hip-Hop</t>
  </si>
  <si>
    <t>Solo</t>
  </si>
  <si>
    <t>Taylor Swift</t>
  </si>
  <si>
    <t>Female</t>
  </si>
  <si>
    <t>United States</t>
  </si>
  <si>
    <t>Pop</t>
  </si>
  <si>
    <t>Bad Bunny</t>
  </si>
  <si>
    <t>Spanish</t>
  </si>
  <si>
    <t>Reggaeton</t>
  </si>
  <si>
    <t>The Weeknd</t>
  </si>
  <si>
    <t>R&amp;B</t>
  </si>
  <si>
    <t>Justin Bieber</t>
  </si>
  <si>
    <t>Ariana Grande</t>
  </si>
  <si>
    <t>Travis Scott</t>
  </si>
  <si>
    <t>Kanye West</t>
  </si>
  <si>
    <t>Ed Sheeran</t>
  </si>
  <si>
    <t>United Kingdom</t>
  </si>
  <si>
    <t>Eminem</t>
  </si>
  <si>
    <t>Rihanna</t>
  </si>
  <si>
    <t>Barbados</t>
  </si>
  <si>
    <t>Billie Eilish</t>
  </si>
  <si>
    <t>Bruno Mars</t>
  </si>
  <si>
    <t>Kendrick Lamar</t>
  </si>
  <si>
    <t>Post Malone</t>
  </si>
  <si>
    <t>J Balvin</t>
  </si>
  <si>
    <t>Colombia</t>
  </si>
  <si>
    <t>Future</t>
  </si>
  <si>
    <t>BTS</t>
  </si>
  <si>
    <t>South Korea</t>
  </si>
  <si>
    <t>Korean</t>
  </si>
  <si>
    <t>K-Pop</t>
  </si>
  <si>
    <t>Group</t>
  </si>
  <si>
    <t>Ozuna</t>
  </si>
  <si>
    <t>Coldplay</t>
  </si>
  <si>
    <t>Rock</t>
  </si>
  <si>
    <t>Juice WRLD</t>
  </si>
  <si>
    <t>Chris Brown</t>
  </si>
  <si>
    <t>Nicki Minaj</t>
  </si>
  <si>
    <t>Trinidad and Tobago</t>
  </si>
  <si>
    <t>Lana Del Rey</t>
  </si>
  <si>
    <t>Alternative</t>
  </si>
  <si>
    <t>David Guetta</t>
  </si>
  <si>
    <t>France</t>
  </si>
  <si>
    <t>EDM</t>
  </si>
  <si>
    <t>Dua Lipa</t>
  </si>
  <si>
    <t>Daddy Yankee</t>
  </si>
  <si>
    <t>Rauw Alejandro</t>
  </si>
  <si>
    <t>Anuel AA</t>
  </si>
  <si>
    <t>XXXTENTACION</t>
  </si>
  <si>
    <t>Imagine Dragons</t>
  </si>
  <si>
    <t>Lil Wayne</t>
  </si>
  <si>
    <t>21 Savage</t>
  </si>
  <si>
    <t>SZA</t>
  </si>
  <si>
    <t>Arijit Singh</t>
  </si>
  <si>
    <t>India</t>
  </si>
  <si>
    <t>Hindi</t>
  </si>
  <si>
    <t>Filmi</t>
  </si>
  <si>
    <t>Lady Gaga</t>
  </si>
  <si>
    <t>KAROL G</t>
  </si>
  <si>
    <t>Lil Baby</t>
  </si>
  <si>
    <t>Maroon 5</t>
  </si>
  <si>
    <t>Mixed</t>
  </si>
  <si>
    <t>Khalid</t>
  </si>
  <si>
    <t>BeyoncÃ©</t>
  </si>
  <si>
    <t>Maluma</t>
  </si>
  <si>
    <t>Latin</t>
  </si>
  <si>
    <t>Feid</t>
  </si>
  <si>
    <t>Calvin Harris</t>
  </si>
  <si>
    <t>Scotland</t>
  </si>
  <si>
    <t>Myke Towers</t>
  </si>
  <si>
    <t>Linkin Park</t>
  </si>
  <si>
    <t>Peso Pluma</t>
  </si>
  <si>
    <t>Mexico</t>
  </si>
  <si>
    <t>Regional Mexican</t>
  </si>
  <si>
    <t>J. Cole</t>
  </si>
  <si>
    <t>Lil Uzi Vert</t>
  </si>
  <si>
    <t>Sia</t>
  </si>
  <si>
    <t>Australia</t>
  </si>
  <si>
    <t>Doja Cat</t>
  </si>
  <si>
    <t>Shakira</t>
  </si>
  <si>
    <t>Morgan Wallen</t>
  </si>
  <si>
    <t>Country</t>
  </si>
  <si>
    <t>Young Thug</t>
  </si>
  <si>
    <t>Farruko</t>
  </si>
  <si>
    <t>Shawn Mendes</t>
  </si>
  <si>
    <t>Harry Styles</t>
  </si>
  <si>
    <t>Queen</t>
  </si>
  <si>
    <t>Sam Smith</t>
  </si>
  <si>
    <t>One Direction</t>
  </si>
  <si>
    <t>Metro Boomin</t>
  </si>
  <si>
    <t>Olivia Rodrigo</t>
  </si>
  <si>
    <t>Adele</t>
  </si>
  <si>
    <t>Pritam</t>
  </si>
  <si>
    <t>Katy Perry</t>
  </si>
  <si>
    <t>Gunna</t>
  </si>
  <si>
    <t>Arctic Monkeys</t>
  </si>
  <si>
    <t>Fuerza Regida</t>
  </si>
  <si>
    <t>Junior H</t>
  </si>
  <si>
    <t>Tyler, The Creator</t>
  </si>
  <si>
    <t>Selena Gomez</t>
  </si>
  <si>
    <t>Ty Dolla $ign</t>
  </si>
  <si>
    <t>The Beatles</t>
  </si>
  <si>
    <t>Pitbull</t>
  </si>
  <si>
    <t>Nicky Jam</t>
  </si>
  <si>
    <t>Playboi Carti</t>
  </si>
  <si>
    <t>Halsey</t>
  </si>
  <si>
    <t>Wiz Khalifa</t>
  </si>
  <si>
    <t>Michael Jackson</t>
  </si>
  <si>
    <t>Sabrina Carpenter</t>
  </si>
  <si>
    <t>Frank Ocean</t>
  </si>
  <si>
    <t>Die drei ???</t>
  </si>
  <si>
    <t>Germany</t>
  </si>
  <si>
    <t>German</t>
  </si>
  <si>
    <t>Spoken Word</t>
  </si>
  <si>
    <t>JAÅ¸-Z</t>
  </si>
  <si>
    <t>A$AP Rocky</t>
  </si>
  <si>
    <t>Miley Cyrus</t>
  </si>
  <si>
    <t>The Chainsmokers</t>
  </si>
  <si>
    <t>Marshmello</t>
  </si>
  <si>
    <t>Cardi B</t>
  </si>
  <si>
    <t>Twenty One Pilots</t>
  </si>
  <si>
    <t>Disney</t>
  </si>
  <si>
    <t>Soundtrack</t>
  </si>
  <si>
    <t>ArcÃ¡ngel</t>
  </si>
  <si>
    <t>Red Hot Chili Peppers</t>
  </si>
  <si>
    <t>Camila Cabello</t>
  </si>
  <si>
    <t>Cuba</t>
  </si>
  <si>
    <t>$uicideboy$</t>
  </si>
  <si>
    <t>OneRepublic</t>
  </si>
  <si>
    <t>Avicii</t>
  </si>
  <si>
    <t>Sweden</t>
  </si>
  <si>
    <t>Diplo</t>
  </si>
  <si>
    <t>Snoop Dogg</t>
  </si>
  <si>
    <t>Romeo Santos</t>
  </si>
  <si>
    <t>Bachata</t>
  </si>
  <si>
    <t>50 Cent</t>
  </si>
  <si>
    <t>Natanael Cano</t>
  </si>
  <si>
    <t>YoungBoy Never Broke Again</t>
  </si>
  <si>
    <t>Mac Miller</t>
  </si>
  <si>
    <t>DaBaby</t>
  </si>
  <si>
    <t>Don Toliver</t>
  </si>
  <si>
    <t>Zach Bryan</t>
  </si>
  <si>
    <t>Kygo</t>
  </si>
  <si>
    <t>Norway</t>
  </si>
  <si>
    <t>Sech</t>
  </si>
  <si>
    <t>Panama</t>
  </si>
  <si>
    <t>The Neighbourhood</t>
  </si>
  <si>
    <t>Quavo</t>
  </si>
  <si>
    <t>Henrique &amp; Juliano</t>
  </si>
  <si>
    <t>Brazil</t>
  </si>
  <si>
    <t>Portuguese</t>
  </si>
  <si>
    <t>Sertanjeo</t>
  </si>
  <si>
    <t>Luke Combs</t>
  </si>
  <si>
    <t>Elton John</t>
  </si>
  <si>
    <t>Manuel Turizo</t>
  </si>
  <si>
    <t>Trippie Redd</t>
  </si>
  <si>
    <t>Tate McRae</t>
  </si>
  <si>
    <t>Lil Peep</t>
  </si>
  <si>
    <t>Metallica</t>
  </si>
  <si>
    <t>Don Omar</t>
  </si>
  <si>
    <t>USHER</t>
  </si>
  <si>
    <t>Charlie Puth</t>
  </si>
  <si>
    <t>Justin Timberlake</t>
  </si>
  <si>
    <t>TiÃ«sto</t>
  </si>
  <si>
    <t>Netherlands</t>
  </si>
  <si>
    <t>Sean Paul</t>
  </si>
  <si>
    <t>Jamaica</t>
  </si>
  <si>
    <t>Reggae</t>
  </si>
  <si>
    <t>Tyga</t>
  </si>
  <si>
    <t>Kali Uchis</t>
  </si>
  <si>
    <t>Kodak Black</t>
  </si>
  <si>
    <t>Jason Derulo</t>
  </si>
  <si>
    <t>BLACKPINK</t>
  </si>
  <si>
    <t>JHAYCO</t>
  </si>
  <si>
    <t>Bebe Rexha</t>
  </si>
  <si>
    <t>Daft Punk</t>
  </si>
  <si>
    <t>Luis Miguel</t>
  </si>
  <si>
    <t>Demi Lovato</t>
  </si>
  <si>
    <t>Akon</t>
  </si>
  <si>
    <t>Senegal</t>
  </si>
  <si>
    <t>AC/DC</t>
  </si>
  <si>
    <t>Sebastian Yatra</t>
  </si>
  <si>
    <t>CarÃ­n LeÃ³n</t>
  </si>
  <si>
    <t>Alan Walker</t>
  </si>
  <si>
    <t>A Boogie Wit da Hoodie</t>
  </si>
  <si>
    <t>Fleetwood Mac</t>
  </si>
  <si>
    <t>Hozier</t>
  </si>
  <si>
    <t>Ireland</t>
  </si>
  <si>
    <t>Ellie Goulding</t>
  </si>
  <si>
    <t>Radiohead</t>
  </si>
  <si>
    <t>Big Sean</t>
  </si>
  <si>
    <t>Flo Rida</t>
  </si>
  <si>
    <t>P!nk</t>
  </si>
  <si>
    <t>Nirvana</t>
  </si>
  <si>
    <t>Pop Smoke</t>
  </si>
  <si>
    <t>Britney Spears</t>
  </si>
  <si>
    <t>James Arthur</t>
  </si>
  <si>
    <t>Tory Lanez</t>
  </si>
  <si>
    <t>Pharrell Williams</t>
  </si>
  <si>
    <t>DJ Snake</t>
  </si>
  <si>
    <t>Daniel Caesar</t>
  </si>
  <si>
    <t>Black Eyed Peas</t>
  </si>
  <si>
    <t>Swae Lee</t>
  </si>
  <si>
    <t>Shreya Ghoshal</t>
  </si>
  <si>
    <t>Duki</t>
  </si>
  <si>
    <t>Argentina</t>
  </si>
  <si>
    <t>Bizarrap</t>
  </si>
  <si>
    <t>Migos</t>
  </si>
  <si>
    <t>The Kid LAROI</t>
  </si>
  <si>
    <t>MarÃ­lia MendonÃ§a</t>
  </si>
  <si>
    <t>Anitta</t>
  </si>
  <si>
    <t>Green Day</t>
  </si>
  <si>
    <t>Lil Durk</t>
  </si>
  <si>
    <t>Polo G</t>
  </si>
  <si>
    <t>A.R. Rahman</t>
  </si>
  <si>
    <t>Tamil</t>
  </si>
  <si>
    <t>G-Eazy</t>
  </si>
  <si>
    <t>Kid Cudi</t>
  </si>
  <si>
    <t>Justin Quiles</t>
  </si>
  <si>
    <t>Bob Marley &amp; The Wailers</t>
  </si>
  <si>
    <t>Stray Kids</t>
  </si>
  <si>
    <t>Anirudh Ravichander</t>
  </si>
  <si>
    <t>Ne-Yo</t>
  </si>
  <si>
    <t>Gucci Mane</t>
  </si>
  <si>
    <t>ROSALÃA</t>
  </si>
  <si>
    <t>Spain</t>
  </si>
  <si>
    <t>Charli xcx</t>
  </si>
  <si>
    <t>Joji</t>
  </si>
  <si>
    <t>Japan</t>
  </si>
  <si>
    <t>Fall Out Boy</t>
  </si>
  <si>
    <t>PARTYNEXTDOOR</t>
  </si>
  <si>
    <t>Jorge &amp; Mateus</t>
  </si>
  <si>
    <t>Offset</t>
  </si>
  <si>
    <t>Panic! At The Disco</t>
  </si>
  <si>
    <t>Tame Impala</t>
  </si>
  <si>
    <t>Quevedo</t>
  </si>
  <si>
    <t>Morat</t>
  </si>
  <si>
    <t>Zara Larsson</t>
  </si>
  <si>
    <t>Tito Double P</t>
  </si>
  <si>
    <t>Jul</t>
  </si>
  <si>
    <t>French</t>
  </si>
  <si>
    <t>2Pac</t>
  </si>
  <si>
    <t>Gorillaz</t>
  </si>
  <si>
    <t>Lewis Capaldi</t>
  </si>
  <si>
    <t>Grupo Frontera</t>
  </si>
  <si>
    <t>Camilo</t>
  </si>
  <si>
    <t>Lenny TavÃ¡rez</t>
  </si>
  <si>
    <t>2 Chainz</t>
  </si>
  <si>
    <t>NF</t>
  </si>
  <si>
    <t>Bryson Tiller</t>
  </si>
  <si>
    <t>Rels B</t>
  </si>
  <si>
    <t>Roddy Ricch</t>
  </si>
  <si>
    <t>Guns N' Roses</t>
  </si>
  <si>
    <t>Mariah Carey</t>
  </si>
  <si>
    <t>Noah Kahan</t>
  </si>
  <si>
    <t>Folk</t>
  </si>
  <si>
    <t>Megan Thee Stallion</t>
  </si>
  <si>
    <t>Christian Nodal</t>
  </si>
  <si>
    <t>Brent Faiyaz</t>
  </si>
  <si>
    <t>Martin Garrix</t>
  </si>
  <si>
    <t>Banda MS de Sergio LizÃ¡rraga</t>
  </si>
  <si>
    <t>Pink Floyd</t>
  </si>
  <si>
    <t>mgk</t>
  </si>
  <si>
    <t>Wisin &amp; Yandel</t>
  </si>
  <si>
    <t>Dr. Dre</t>
  </si>
  <si>
    <t>Mora</t>
  </si>
  <si>
    <t>Cigarettes After Sex</t>
  </si>
  <si>
    <t>Childish Gambino</t>
  </si>
  <si>
    <t>Wisin</t>
  </si>
  <si>
    <t>Major Lazer</t>
  </si>
  <si>
    <t>John Mayer</t>
  </si>
  <si>
    <t>Miguel</t>
  </si>
  <si>
    <t>Lil Nas X</t>
  </si>
  <si>
    <t>System Of A Down</t>
  </si>
  <si>
    <t>Metal</t>
  </si>
  <si>
    <t>Logic</t>
  </si>
  <si>
    <t>ABBA</t>
  </si>
  <si>
    <t>Becky G</t>
  </si>
  <si>
    <t>Yandel</t>
  </si>
  <si>
    <t>Enrique Iglesias</t>
  </si>
  <si>
    <t>Lil Yachty</t>
  </si>
  <si>
    <t>Luis R Conriquez</t>
  </si>
  <si>
    <t>Zion &amp; Lennox</t>
  </si>
  <si>
    <t>5 Seconds of Summer</t>
  </si>
  <si>
    <t>Jack Harlow</t>
  </si>
  <si>
    <t>TWICE</t>
  </si>
  <si>
    <t>Ã‘engo Flow</t>
  </si>
  <si>
    <t>Ava Max</t>
  </si>
  <si>
    <t>ZAYN</t>
  </si>
  <si>
    <t>Michael BublÃ©</t>
  </si>
  <si>
    <t>Macklemore</t>
  </si>
  <si>
    <t>Anne-Marie</t>
  </si>
  <si>
    <t>The Rolling Stones</t>
  </si>
  <si>
    <t>Frank Sinatra</t>
  </si>
  <si>
    <t>Robin Schulz</t>
  </si>
  <si>
    <t>Bryant Myers</t>
  </si>
  <si>
    <t>Gusttavo Lima</t>
  </si>
  <si>
    <t>Eladio Carrion</t>
  </si>
  <si>
    <t>Grupo Firme</t>
  </si>
  <si>
    <t>Amitabh Bhattacharya</t>
  </si>
  <si>
    <t>Alicia Keys</t>
  </si>
  <si>
    <t>Kesha</t>
  </si>
  <si>
    <t>LAUV</t>
  </si>
  <si>
    <t>Madonna</t>
  </si>
  <si>
    <t>Reik</t>
  </si>
  <si>
    <t>John Legend</t>
  </si>
  <si>
    <t>Meghan Trainor</t>
  </si>
  <si>
    <t>Lil Tecca</t>
  </si>
  <si>
    <t>Lorde</t>
  </si>
  <si>
    <t>New Zealand</t>
  </si>
  <si>
    <t>MC Ryan SP</t>
  </si>
  <si>
    <t>Chris Stapleton</t>
  </si>
  <si>
    <t>French Montana</t>
  </si>
  <si>
    <t>Morocco</t>
  </si>
  <si>
    <t>Melanie Martinez</t>
  </si>
  <si>
    <t>Elvis Presley</t>
  </si>
  <si>
    <t>Rick Ross</t>
  </si>
  <si>
    <t>Cris MJ</t>
  </si>
  <si>
    <t>Chile</t>
  </si>
  <si>
    <t>Zedd</t>
  </si>
  <si>
    <t>Russia</t>
  </si>
  <si>
    <t>Paramore</t>
  </si>
  <si>
    <t>Chance the Rapper</t>
  </si>
  <si>
    <t>Ninho</t>
  </si>
  <si>
    <t>blackbear</t>
  </si>
  <si>
    <t>Creedence Clearwater Revival</t>
  </si>
  <si>
    <t>T-Pain</t>
  </si>
  <si>
    <t>Jung Kook</t>
  </si>
  <si>
    <t>Skrillex</t>
  </si>
  <si>
    <t>DJ Khaled</t>
  </si>
  <si>
    <t>Wizkid</t>
  </si>
  <si>
    <t>Nigeria</t>
  </si>
  <si>
    <t>Afrobeats</t>
  </si>
  <si>
    <t>Oasis</t>
  </si>
  <si>
    <t>Christina Aguilera</t>
  </si>
  <si>
    <t>Slipknot</t>
  </si>
  <si>
    <t>Irshad Kamil</t>
  </si>
  <si>
    <t>Little Mix</t>
  </si>
  <si>
    <t>BeÃ©le</t>
  </si>
  <si>
    <t>The Notorious B.I.G.</t>
  </si>
  <si>
    <t>Mitski</t>
  </si>
  <si>
    <t>Tainy</t>
  </si>
  <si>
    <t>ZÃ© Neto &amp; Cristiano</t>
  </si>
  <si>
    <t>Rammstein</t>
  </si>
  <si>
    <t>Labrinth</t>
  </si>
  <si>
    <t>Chencho Corleone</t>
  </si>
  <si>
    <t>Darell</t>
  </si>
  <si>
    <t>Bon Jovi</t>
  </si>
  <si>
    <t>The Killers</t>
  </si>
  <si>
    <t>blink-182</t>
  </si>
  <si>
    <t>Summer Walker</t>
  </si>
  <si>
    <t>JhenÃ© Aiko</t>
  </si>
  <si>
    <t>Kehlani</t>
  </si>
  <si>
    <t>Clean Bandit</t>
  </si>
  <si>
    <t>David Bowie</t>
  </si>
  <si>
    <t>U2</t>
  </si>
  <si>
    <t>Aventura</t>
  </si>
  <si>
    <t>Foo Fighters</t>
  </si>
  <si>
    <t>The 1975</t>
  </si>
  <si>
    <t>Maria Becerra</t>
  </si>
  <si>
    <t>Plan B</t>
  </si>
  <si>
    <t>Steve Lacy</t>
  </si>
  <si>
    <t>De La Ghetto</t>
  </si>
  <si>
    <t>Troye Sivan</t>
  </si>
  <si>
    <t>South Africa</t>
  </si>
  <si>
    <t>Conan Gray</t>
  </si>
  <si>
    <t>Ludacris</t>
  </si>
  <si>
    <t>Burna Boy</t>
  </si>
  <si>
    <t>Danny Ocean</t>
  </si>
  <si>
    <t>Venezuela</t>
  </si>
  <si>
    <t>Meek Mill</t>
  </si>
  <si>
    <t>My Chemical Romance</t>
  </si>
  <si>
    <t>Alessia Cara</t>
  </si>
  <si>
    <t>Vishal-Shekhar</t>
  </si>
  <si>
    <t>Paulo Londra</t>
  </si>
  <si>
    <t>Yeat</t>
  </si>
  <si>
    <t>Matheus &amp; Kauan</t>
  </si>
  <si>
    <t>Alok</t>
  </si>
  <si>
    <t>Bring Me The Horizon</t>
  </si>
  <si>
    <t>Central Cee</t>
  </si>
  <si>
    <t>League of Legends</t>
  </si>
  <si>
    <t>Mac DeMarco</t>
  </si>
  <si>
    <t>Benson Boone</t>
  </si>
  <si>
    <t>Dalex</t>
  </si>
  <si>
    <t>Nickelback</t>
  </si>
  <si>
    <t>Marc Anthony</t>
  </si>
  <si>
    <t>ManÃ¡</t>
  </si>
  <si>
    <t>Led Zeppelin</t>
  </si>
  <si>
    <t>MÃ¥neskin</t>
  </si>
  <si>
    <t>Italy</t>
  </si>
  <si>
    <t>Italian</t>
  </si>
  <si>
    <t>Florida Georgia Line</t>
  </si>
  <si>
    <t>Luis Fonsi</t>
  </si>
  <si>
    <t>RAYE</t>
  </si>
  <si>
    <t>Neton Vega</t>
  </si>
  <si>
    <t>Gracie Abrams</t>
  </si>
  <si>
    <t>Timbaland</t>
  </si>
  <si>
    <t>Jeremih</t>
  </si>
  <si>
    <t>The Lumineers</t>
  </si>
  <si>
    <t>Oscar Maydon</t>
  </si>
  <si>
    <t>Anderson .Paak</t>
  </si>
  <si>
    <t>Chase Atlantic</t>
  </si>
  <si>
    <t>JuliÃ³n Ãlvarez y su NorteÃ±o Banda</t>
  </si>
  <si>
    <t>Prince Royce</t>
  </si>
  <si>
    <t>Bastille</t>
  </si>
  <si>
    <t>Sfera Ebbasta</t>
  </si>
  <si>
    <t>Florence + The Machine</t>
  </si>
  <si>
    <t>YG</t>
  </si>
  <si>
    <t>Alejandro Sanz</t>
  </si>
  <si>
    <t>Lil Tjay</t>
  </si>
  <si>
    <t>GIVÄ’ON</t>
  </si>
  <si>
    <t>Billy Joel</t>
  </si>
  <si>
    <t>Luke Bryan</t>
  </si>
  <si>
    <t>Muse</t>
  </si>
  <si>
    <t>Jonas Blue</t>
  </si>
  <si>
    <t>Teddy Swims</t>
  </si>
  <si>
    <t>Juanes</t>
  </si>
  <si>
    <t>Jennifer Lopez</t>
  </si>
  <si>
    <t>Cartel De Santa</t>
  </si>
  <si>
    <t>T.I.</t>
  </si>
  <si>
    <t>Gabito Ballesteros</t>
  </si>
  <si>
    <t>El Alfa</t>
  </si>
  <si>
    <t>Dominican Republic</t>
  </si>
  <si>
    <t>Alka Yagnik</t>
  </si>
  <si>
    <t>Blessd</t>
  </si>
  <si>
    <t>NATTI NATASHA</t>
  </si>
  <si>
    <t>Bruce Springsteen</t>
  </si>
  <si>
    <t>Alfredo Olivas</t>
  </si>
  <si>
    <t>Jonas Brothers</t>
  </si>
  <si>
    <t>Hans Zimmer</t>
  </si>
  <si>
    <t>Julia Michaels</t>
  </si>
  <si>
    <t>Deftones</t>
  </si>
  <si>
    <t>Clairo</t>
  </si>
  <si>
    <t>Whitney Houston</t>
  </si>
  <si>
    <t>Tove Lo</t>
  </si>
  <si>
    <t>DJ Luian</t>
  </si>
  <si>
    <t>Amy Winehouse</t>
  </si>
  <si>
    <t>Soul</t>
  </si>
  <si>
    <t>TV Girl</t>
  </si>
  <si>
    <t>Tanishk Bagchi</t>
  </si>
  <si>
    <t>Dave</t>
  </si>
  <si>
    <t>Avril Lavigne</t>
  </si>
  <si>
    <t>Lost Frequencies</t>
  </si>
  <si>
    <t>Belgium</t>
  </si>
  <si>
    <t>Kings of Leon</t>
  </si>
  <si>
    <t>Joan Sebastian</t>
  </si>
  <si>
    <t>Alejandro FernÃ¡ndez</t>
  </si>
  <si>
    <t>Glass Animals</t>
  </si>
  <si>
    <t>Sachin-Jigar</t>
  </si>
  <si>
    <t>Fetty Wap</t>
  </si>
  <si>
    <t>NAV</t>
  </si>
  <si>
    <t>Jack Johnson</t>
  </si>
  <si>
    <t>SEVENTEEN</t>
  </si>
  <si>
    <t>The Script</t>
  </si>
  <si>
    <t>TINI</t>
  </si>
  <si>
    <t>Backstreet Boys</t>
  </si>
  <si>
    <t>Jimin</t>
  </si>
  <si>
    <t>Mambo Kingz</t>
  </si>
  <si>
    <t>NLE Choppa</t>
  </si>
  <si>
    <t>GIMS</t>
  </si>
  <si>
    <t>DR Congo</t>
  </si>
  <si>
    <t>Calibre 50</t>
  </si>
  <si>
    <t>Chappell Roan</t>
  </si>
  <si>
    <t>Stevie Wonder</t>
  </si>
  <si>
    <t>Juicy J</t>
  </si>
  <si>
    <t>Mark Ronson</t>
  </si>
  <si>
    <t>Kelly Clarkson</t>
  </si>
  <si>
    <t>The Offspring</t>
  </si>
  <si>
    <t>Bonez MC</t>
  </si>
  <si>
    <t>Bibi Blocksberg</t>
  </si>
  <si>
    <t>Children's Music</t>
  </si>
  <si>
    <t>Milo j</t>
  </si>
  <si>
    <t>Jay Wheeler</t>
  </si>
  <si>
    <t>felix jaehn</t>
  </si>
  <si>
    <t>Niall Horan</t>
  </si>
  <si>
    <t>6ix9ine</t>
  </si>
  <si>
    <t>Nate Dogg</t>
  </si>
  <si>
    <t>Noriel</t>
  </si>
  <si>
    <t>Vicente FernÃ¡ndez</t>
  </si>
  <si>
    <t>Three Days Grace</t>
  </si>
  <si>
    <t>Aerosmith</t>
  </si>
  <si>
    <t>Bee Gees</t>
  </si>
  <si>
    <t>Udit Narayan</t>
  </si>
  <si>
    <t>Nepal</t>
  </si>
  <si>
    <t>Piso 21</t>
  </si>
  <si>
    <t>Rod Wave</t>
  </si>
  <si>
    <t>Vance Joy</t>
  </si>
  <si>
    <t>Bon Iver</t>
  </si>
  <si>
    <t>Eslabon Armado</t>
  </si>
  <si>
    <t>JENNIE</t>
  </si>
  <si>
    <t>Russ</t>
  </si>
  <si>
    <t>Rae Sremmurd</t>
  </si>
  <si>
    <t>Jess Glynne</t>
  </si>
  <si>
    <t>The Smiths</t>
  </si>
  <si>
    <t>Eagles</t>
  </si>
  <si>
    <t>The Police</t>
  </si>
  <si>
    <t>Phil Collins</t>
  </si>
  <si>
    <t>The Strokes</t>
  </si>
  <si>
    <t>Atif Aslam</t>
  </si>
  <si>
    <t>Pakistan</t>
  </si>
  <si>
    <t>Urdu</t>
  </si>
  <si>
    <t>Ovy On The Drums</t>
  </si>
  <si>
    <t>Olivia Dean</t>
  </si>
  <si>
    <t>Dire Straits</t>
  </si>
  <si>
    <t>NewJeans</t>
  </si>
  <si>
    <t>Avenged Sevenfold</t>
  </si>
  <si>
    <t>Ricardo Arjona</t>
  </si>
  <si>
    <t>Guatemala</t>
  </si>
  <si>
    <t>Los Ãngeles Azules</t>
  </si>
  <si>
    <t>Rex Orange County</t>
  </si>
  <si>
    <t>ScHoolboy Q</t>
  </si>
  <si>
    <t>6LACK</t>
  </si>
  <si>
    <t>Disclosure</t>
  </si>
  <si>
    <t>Brytiago</t>
  </si>
  <si>
    <t>Alesso</t>
  </si>
  <si>
    <t>RAF Camora</t>
  </si>
  <si>
    <t>Austria</t>
  </si>
  <si>
    <t>Nelly</t>
  </si>
  <si>
    <t>Mumford &amp; Sons</t>
  </si>
  <si>
    <t>Kumaar</t>
  </si>
  <si>
    <t>Pearl Jam</t>
  </si>
  <si>
    <t>Zion</t>
  </si>
  <si>
    <t>Ryan Castro</t>
  </si>
  <si>
    <t>Nelly Furtado</t>
  </si>
  <si>
    <t>Wesley SafadÃ£o</t>
  </si>
  <si>
    <t>Disturbed</t>
  </si>
  <si>
    <t>H.E.R.</t>
  </si>
  <si>
    <t>Rita Ora</t>
  </si>
  <si>
    <t>Kevin Gates</t>
  </si>
  <si>
    <t>beabadoobee</t>
  </si>
  <si>
    <t>Philippines</t>
  </si>
  <si>
    <t>Karan Aujla</t>
  </si>
  <si>
    <t>Punjabi</t>
  </si>
  <si>
    <t>CÃ©line Dion</t>
  </si>
  <si>
    <t>Bryan Adams</t>
  </si>
  <si>
    <t>ENHYPEN</t>
  </si>
  <si>
    <t>Dominic Fike</t>
  </si>
  <si>
    <t>Ana Castela</t>
  </si>
  <si>
    <t>LANY</t>
  </si>
  <si>
    <t>Johnny Cash</t>
  </si>
  <si>
    <t>B.o.B</t>
  </si>
  <si>
    <t>Jason Aldean</t>
  </si>
  <si>
    <t>Luan Santana</t>
  </si>
  <si>
    <t>KHEA</t>
  </si>
  <si>
    <t>Maiara &amp; Maraisa</t>
  </si>
  <si>
    <t>Mc IG</t>
  </si>
  <si>
    <t>Tiago PZK</t>
  </si>
  <si>
    <t>Tom Odell</t>
  </si>
  <si>
    <t>Macklemore &amp; Ryan Lewis</t>
  </si>
  <si>
    <t>Thomas Rhett</t>
  </si>
  <si>
    <t>MÃ˜</t>
  </si>
  <si>
    <t>Denmark</t>
  </si>
  <si>
    <t>Five Finger Death Punch</t>
  </si>
  <si>
    <t>Kane Brown</t>
  </si>
  <si>
    <t>Laufey</t>
  </si>
  <si>
    <t>Iceland</t>
  </si>
  <si>
    <t>Grupo Menos Ã‰ Mais</t>
  </si>
  <si>
    <t>Nicki Nicole</t>
  </si>
  <si>
    <t>Moneybagg Yo</t>
  </si>
  <si>
    <t>Magenta</t>
  </si>
  <si>
    <t>Ryan Lewis</t>
  </si>
  <si>
    <t>Morad</t>
  </si>
  <si>
    <t>Calum Scott</t>
  </si>
  <si>
    <t>TOMORROW X TOGETHER</t>
  </si>
  <si>
    <t>Grupo Marca Registrada</t>
  </si>
  <si>
    <t>benny blanco</t>
  </si>
  <si>
    <t>JID</t>
  </si>
  <si>
    <t>YNW Melly</t>
  </si>
  <si>
    <t>Juan Gabriel</t>
  </si>
  <si>
    <t>Los Temerarios</t>
  </si>
  <si>
    <t>Jason Mraz</t>
  </si>
  <si>
    <t>The Cure</t>
  </si>
  <si>
    <t>The MarÃ­as</t>
  </si>
  <si>
    <t>Limp Bizkit</t>
  </si>
  <si>
    <t>Nu Metal</t>
  </si>
  <si>
    <t>Korn</t>
  </si>
  <si>
    <t>Omar Courtz</t>
  </si>
  <si>
    <t>La Arrolladora Banda El Limón</t>
  </si>
  <si>
    <t>Sum of Total Streams (in millions)</t>
  </si>
  <si>
    <t>Count of Artist Name</t>
  </si>
  <si>
    <t>Average of Total Streams (in millions)</t>
  </si>
  <si>
    <t>Row Labels</t>
  </si>
  <si>
    <t>Grand Total</t>
  </si>
  <si>
    <t>Max of Total Streams (in millions)</t>
  </si>
  <si>
    <t>Average of % of Collaborative Streams</t>
  </si>
  <si>
    <t>GENRE</t>
  </si>
  <si>
    <t>Sum of Debut Year</t>
  </si>
  <si>
    <t>Column Labels</t>
  </si>
  <si>
    <t>Genre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</si>
</sst>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7">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42" applyNumberFormat="1" applyFont="1"/>
    <xf numFmtId="9" fontId="0" fillId="0" borderId="0" xfId="42" applyFont="1"/>
    <xf numFmtId="9"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numFmt numFmtId="13" formatCode="0%"/>
    </dxf>
    <dxf>
      <font>
        <b val="0"/>
        <i val="0"/>
        <strike val="0"/>
        <condense val="0"/>
        <extend val="0"/>
        <outline val="0"/>
        <shadow val="0"/>
        <u val="none"/>
        <vertAlign val="baseline"/>
        <sz val="11"/>
        <color theme="1"/>
        <name val="Aptos Narrow"/>
        <family val="2"/>
        <scheme val="minor"/>
      </font>
      <numFmt numFmtId="13" formatCode="0%"/>
    </dxf>
  </dxfs>
  <tableStyles count="0" defaultTableStyle="TableStyleMedium2" defaultPivotStyle="PivotStyleLight16"/>
  <colors>
    <mruColors>
      <color rgb="FF2AB0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Streaming Performance Dataset.csv.xlsx]Top Artists!top 10 artist</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ARTISTS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B05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Artists'!$B$1</c:f>
              <c:strCache>
                <c:ptCount val="1"/>
                <c:pt idx="0">
                  <c:v>Total</c:v>
                </c:pt>
              </c:strCache>
            </c:strRef>
          </c:tx>
          <c:spPr>
            <a:solidFill>
              <a:srgbClr val="00B050"/>
            </a:solidFill>
            <a:ln>
              <a:noFill/>
            </a:ln>
            <a:effectLst>
              <a:outerShdw blurRad="57150" dist="19050" dir="5400000" algn="ctr" rotWithShape="0">
                <a:srgbClr val="000000">
                  <a:alpha val="63000"/>
                </a:srgbClr>
              </a:outerShdw>
            </a:effectLst>
          </c:spPr>
          <c:invertIfNegative val="0"/>
          <c:cat>
            <c:strRef>
              <c:f>'Top Artists'!$A$2:$A$12</c:f>
              <c:strCache>
                <c:ptCount val="10"/>
                <c:pt idx="0">
                  <c:v>Drake</c:v>
                </c:pt>
                <c:pt idx="1">
                  <c:v>Taylor Swift</c:v>
                </c:pt>
                <c:pt idx="2">
                  <c:v>Bad Bunny</c:v>
                </c:pt>
                <c:pt idx="3">
                  <c:v>The Weeknd</c:v>
                </c:pt>
                <c:pt idx="4">
                  <c:v>Justin Bieber</c:v>
                </c:pt>
                <c:pt idx="5">
                  <c:v>Ariana Grande</c:v>
                </c:pt>
                <c:pt idx="6">
                  <c:v>Travis Scott</c:v>
                </c:pt>
                <c:pt idx="7">
                  <c:v>Kanye West</c:v>
                </c:pt>
                <c:pt idx="8">
                  <c:v>Ed Sheeran</c:v>
                </c:pt>
                <c:pt idx="9">
                  <c:v>Eminem</c:v>
                </c:pt>
              </c:strCache>
            </c:strRef>
          </c:cat>
          <c:val>
            <c:numRef>
              <c:f>'Top Artists'!$B$2:$B$12</c:f>
              <c:numCache>
                <c:formatCode>General</c:formatCode>
                <c:ptCount val="10"/>
                <c:pt idx="0">
                  <c:v>137492.1</c:v>
                </c:pt>
                <c:pt idx="1">
                  <c:v>127861</c:v>
                </c:pt>
                <c:pt idx="2">
                  <c:v>125899.8</c:v>
                </c:pt>
                <c:pt idx="3">
                  <c:v>95703.2</c:v>
                </c:pt>
                <c:pt idx="4">
                  <c:v>78104.399999999994</c:v>
                </c:pt>
                <c:pt idx="5">
                  <c:v>68298.899999999994</c:v>
                </c:pt>
                <c:pt idx="6">
                  <c:v>65349.7</c:v>
                </c:pt>
                <c:pt idx="7">
                  <c:v>65142.9</c:v>
                </c:pt>
                <c:pt idx="8">
                  <c:v>64656.9</c:v>
                </c:pt>
                <c:pt idx="9">
                  <c:v>64549</c:v>
                </c:pt>
              </c:numCache>
            </c:numRef>
          </c:val>
          <c:extLst>
            <c:ext xmlns:c16="http://schemas.microsoft.com/office/drawing/2014/chart" uri="{C3380CC4-5D6E-409C-BE32-E72D297353CC}">
              <c16:uniqueId val="{00000000-9D96-45C6-AF00-3AFA7D0F7A53}"/>
            </c:ext>
          </c:extLst>
        </c:ser>
        <c:dLbls>
          <c:showLegendKey val="0"/>
          <c:showVal val="0"/>
          <c:showCatName val="0"/>
          <c:showSerName val="0"/>
          <c:showPercent val="0"/>
          <c:showBubbleSize val="0"/>
        </c:dLbls>
        <c:gapWidth val="100"/>
        <c:overlap val="-24"/>
        <c:axId val="380103952"/>
        <c:axId val="225874128"/>
      </c:barChart>
      <c:catAx>
        <c:axId val="380103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225874128"/>
        <c:crosses val="autoZero"/>
        <c:auto val="1"/>
        <c:lblAlgn val="ctr"/>
        <c:lblOffset val="100"/>
        <c:noMultiLvlLbl val="0"/>
      </c:catAx>
      <c:valAx>
        <c:axId val="225874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010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Streaming Performance Dataset.csv.xlsx]Stream Per Country!stream per country</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Stream</a:t>
            </a:r>
            <a:r>
              <a:rPr lang="en-US" baseline="0"/>
              <a:t> by Country of Origin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'Stream Per Country'!$B$1</c:f>
              <c:strCache>
                <c:ptCount val="1"/>
                <c:pt idx="0">
                  <c:v>Total</c:v>
                </c:pt>
              </c:strCache>
            </c:strRef>
          </c:tx>
          <c:spPr>
            <a:solidFill>
              <a:schemeClr val="accent3">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'Stream Per Country'!$A$2:$A$45</c:f>
              <c:strCache>
                <c:ptCount val="43"/>
                <c:pt idx="0">
                  <c:v>United States</c:v>
                </c:pt>
                <c:pt idx="1">
                  <c:v>United Kingdom</c:v>
                </c:pt>
                <c:pt idx="2">
                  <c:v>Canada</c:v>
                </c:pt>
                <c:pt idx="3">
                  <c:v>Mexico</c:v>
                </c:pt>
                <c:pt idx="4">
                  <c:v>Colombia</c:v>
                </c:pt>
                <c:pt idx="5">
                  <c:v>India</c:v>
                </c:pt>
                <c:pt idx="6">
                  <c:v>Brazil</c:v>
                </c:pt>
                <c:pt idx="7">
                  <c:v>South Korea</c:v>
                </c:pt>
                <c:pt idx="8">
                  <c:v>Australia</c:v>
                </c:pt>
                <c:pt idx="9">
                  <c:v>France</c:v>
                </c:pt>
                <c:pt idx="10">
                  <c:v>Argentina</c:v>
                </c:pt>
                <c:pt idx="11">
                  <c:v>Germany</c:v>
                </c:pt>
                <c:pt idx="12">
                  <c:v>Spain</c:v>
                </c:pt>
                <c:pt idx="13">
                  <c:v>Sweden</c:v>
                </c:pt>
                <c:pt idx="14">
                  <c:v>Barbados</c:v>
                </c:pt>
                <c:pt idx="15">
                  <c:v>Scotland</c:v>
                </c:pt>
                <c:pt idx="16">
                  <c:v>Ireland</c:v>
                </c:pt>
                <c:pt idx="17">
                  <c:v>Trinidad and Tobago</c:v>
                </c:pt>
                <c:pt idx="18">
                  <c:v>Norway</c:v>
                </c:pt>
                <c:pt idx="19">
                  <c:v>Jamaica</c:v>
                </c:pt>
                <c:pt idx="20">
                  <c:v>Netherlands</c:v>
                </c:pt>
                <c:pt idx="21">
                  <c:v>Italy</c:v>
                </c:pt>
                <c:pt idx="22">
                  <c:v>Japan</c:v>
                </c:pt>
                <c:pt idx="23">
                  <c:v>Cuba</c:v>
                </c:pt>
                <c:pt idx="24">
                  <c:v>Nigeria</c:v>
                </c:pt>
                <c:pt idx="25">
                  <c:v>Panama</c:v>
                </c:pt>
                <c:pt idx="26">
                  <c:v>Dominican Republic</c:v>
                </c:pt>
                <c:pt idx="27">
                  <c:v>Senegal</c:v>
                </c:pt>
                <c:pt idx="28">
                  <c:v>New Zealand</c:v>
                </c:pt>
                <c:pt idx="29">
                  <c:v>Morocco</c:v>
                </c:pt>
                <c:pt idx="30">
                  <c:v>Chile</c:v>
                </c:pt>
                <c:pt idx="31">
                  <c:v>Russia</c:v>
                </c:pt>
                <c:pt idx="32">
                  <c:v>South Africa</c:v>
                </c:pt>
                <c:pt idx="33">
                  <c:v>Venezuela</c:v>
                </c:pt>
                <c:pt idx="34">
                  <c:v>Belgium</c:v>
                </c:pt>
                <c:pt idx="35">
                  <c:v>DR Congo</c:v>
                </c:pt>
                <c:pt idx="36">
                  <c:v>Nepal</c:v>
                </c:pt>
                <c:pt idx="37">
                  <c:v>Pakistan</c:v>
                </c:pt>
                <c:pt idx="38">
                  <c:v>Guatemala</c:v>
                </c:pt>
                <c:pt idx="39">
                  <c:v>Austria</c:v>
                </c:pt>
                <c:pt idx="40">
                  <c:v>Philippines</c:v>
                </c:pt>
                <c:pt idx="41">
                  <c:v>Denmark</c:v>
                </c:pt>
                <c:pt idx="42">
                  <c:v>Iceland</c:v>
                </c:pt>
              </c:strCache>
            </c:strRef>
          </c:cat>
          <c:val>
            <c:numRef>
              <c:f>'Stream Per Country'!$B$2:$B$45</c:f>
              <c:numCache>
                <c:formatCode>General</c:formatCode>
                <c:ptCount val="43"/>
                <c:pt idx="0">
                  <c:v>4786604.0000000009</c:v>
                </c:pt>
                <c:pt idx="1">
                  <c:v>852177.79999999981</c:v>
                </c:pt>
                <c:pt idx="2">
                  <c:v>496760.29999999993</c:v>
                </c:pt>
                <c:pt idx="3">
                  <c:v>332177.89999999997</c:v>
                </c:pt>
                <c:pt idx="4">
                  <c:v>327813.8</c:v>
                </c:pt>
                <c:pt idx="5">
                  <c:v>186954.7</c:v>
                </c:pt>
                <c:pt idx="6">
                  <c:v>164438.99999999997</c:v>
                </c:pt>
                <c:pt idx="7">
                  <c:v>157338.70000000001</c:v>
                </c:pt>
                <c:pt idx="8">
                  <c:v>108994.90000000001</c:v>
                </c:pt>
                <c:pt idx="9">
                  <c:v>100884.5</c:v>
                </c:pt>
                <c:pt idx="10">
                  <c:v>90817.600000000006</c:v>
                </c:pt>
                <c:pt idx="11">
                  <c:v>81741.7</c:v>
                </c:pt>
                <c:pt idx="12">
                  <c:v>72045.3</c:v>
                </c:pt>
                <c:pt idx="13">
                  <c:v>64792.1</c:v>
                </c:pt>
                <c:pt idx="14">
                  <c:v>60670.7</c:v>
                </c:pt>
                <c:pt idx="15">
                  <c:v>48217.5</c:v>
                </c:pt>
                <c:pt idx="16">
                  <c:v>43945.1</c:v>
                </c:pt>
                <c:pt idx="17">
                  <c:v>43330.3</c:v>
                </c:pt>
                <c:pt idx="18">
                  <c:v>36601.199999999997</c:v>
                </c:pt>
                <c:pt idx="19">
                  <c:v>33196</c:v>
                </c:pt>
                <c:pt idx="20">
                  <c:v>31685.8</c:v>
                </c:pt>
                <c:pt idx="21">
                  <c:v>26576.399999999998</c:v>
                </c:pt>
                <c:pt idx="22">
                  <c:v>25451.5</c:v>
                </c:pt>
                <c:pt idx="23">
                  <c:v>21546.2</c:v>
                </c:pt>
                <c:pt idx="24">
                  <c:v>21439.599999999999</c:v>
                </c:pt>
                <c:pt idx="25">
                  <c:v>19528.3</c:v>
                </c:pt>
                <c:pt idx="26">
                  <c:v>18016.599999999999</c:v>
                </c:pt>
                <c:pt idx="27">
                  <c:v>17056</c:v>
                </c:pt>
                <c:pt idx="28">
                  <c:v>11721</c:v>
                </c:pt>
                <c:pt idx="29">
                  <c:v>11640.6</c:v>
                </c:pt>
                <c:pt idx="30">
                  <c:v>11566.2</c:v>
                </c:pt>
                <c:pt idx="31">
                  <c:v>11481.4</c:v>
                </c:pt>
                <c:pt idx="32">
                  <c:v>10332.799999999999</c:v>
                </c:pt>
                <c:pt idx="33">
                  <c:v>10234.299999999999</c:v>
                </c:pt>
                <c:pt idx="34">
                  <c:v>8699.2000000000007</c:v>
                </c:pt>
                <c:pt idx="35">
                  <c:v>8439.5</c:v>
                </c:pt>
                <c:pt idx="36">
                  <c:v>8186.9</c:v>
                </c:pt>
                <c:pt idx="37">
                  <c:v>7934.5</c:v>
                </c:pt>
                <c:pt idx="38">
                  <c:v>7852.2</c:v>
                </c:pt>
                <c:pt idx="39">
                  <c:v>7738.2</c:v>
                </c:pt>
                <c:pt idx="40">
                  <c:v>7552.8</c:v>
                </c:pt>
                <c:pt idx="41">
                  <c:v>7335.2</c:v>
                </c:pt>
                <c:pt idx="42">
                  <c:v>7286.8</c:v>
                </c:pt>
              </c:numCache>
            </c:numRef>
          </c:val>
          <c:extLst>
            <c:ext xmlns:c16="http://schemas.microsoft.com/office/drawing/2014/chart" uri="{C3380CC4-5D6E-409C-BE32-E72D297353CC}">
              <c16:uniqueId val="{00000000-91CA-4634-88AD-8BF395849A79}"/>
            </c:ext>
          </c:extLst>
        </c:ser>
        <c:dLbls>
          <c:dLblPos val="outEnd"/>
          <c:showLegendKey val="0"/>
          <c:showVal val="1"/>
          <c:showCatName val="0"/>
          <c:showSerName val="0"/>
          <c:showPercent val="0"/>
          <c:showBubbleSize val="0"/>
        </c:dLbls>
        <c:gapWidth val="115"/>
        <c:overlap val="-20"/>
        <c:axId val="1513695120"/>
        <c:axId val="1125279376"/>
      </c:barChart>
      <c:catAx>
        <c:axId val="15136951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1125279376"/>
        <c:crosses val="autoZero"/>
        <c:auto val="1"/>
        <c:lblAlgn val="ctr"/>
        <c:lblOffset val="100"/>
        <c:noMultiLvlLbl val="0"/>
      </c:catAx>
      <c:valAx>
        <c:axId val="11252793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369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Streaming Performance Dataset.csv.xlsx]Group vs Solo Analysis!group vs solo</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t>Solo vs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349082964356787"/>
              <c:y val="-2.77775955088947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357272437412726"/>
                  <c:h val="0.14953703703703702"/>
                </c:manualLayout>
              </c15:layout>
            </c:ext>
          </c:extLst>
        </c:dLbl>
      </c:pivotFmt>
      <c:pivotFmt>
        <c:idx val="2"/>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154857061182305"/>
              <c:y val="-9.259076990376202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CDABC5B-4918-4FDA-8A70-0BB2AC7C6961}" type="VALUE">
                  <a:rPr lang="en-US" sz="1200"/>
                  <a:pPr>
                    <a:defRPr sz="900" b="0" i="0" u="none" strike="noStrike" kern="1200" baseline="0">
                      <a:solidFill>
                        <a:schemeClr val="lt1">
                          <a:lumMod val="8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60421944772101"/>
                  <c:h val="0.14953703703703702"/>
                </c:manualLayout>
              </c15:layout>
              <c15:dlblFieldTable/>
              <c15:showDataLabelsRange val="0"/>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349082964356787"/>
              <c:y val="-2.77775955088947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357272437412726"/>
                  <c:h val="0.14953703703703702"/>
                </c:manualLayout>
              </c15:layout>
            </c:ext>
          </c:extLst>
        </c:dLbl>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154857061182305"/>
              <c:y val="-9.259076990376202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CDABC5B-4918-4FDA-8A70-0BB2AC7C6961}" type="VALUE">
                  <a:rPr lang="en-US" sz="1200"/>
                  <a:pPr>
                    <a:defRPr sz="900" b="0" i="0" u="none" strike="noStrike" kern="1200" baseline="0">
                      <a:solidFill>
                        <a:schemeClr val="lt1">
                          <a:lumMod val="8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60421944772101"/>
                  <c:h val="0.14953703703703702"/>
                </c:manualLayout>
              </c15:layout>
              <c15:dlblFieldTable/>
              <c15:showDataLabelsRange val="0"/>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349082964356787"/>
              <c:y val="-2.77775955088947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357272437412726"/>
                  <c:h val="0.14953703703703702"/>
                </c:manualLayout>
              </c15:layout>
            </c:ext>
          </c:extLst>
        </c:dLbl>
      </c:pivotFmt>
      <c:pivotFmt>
        <c:idx val="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154857061182305"/>
              <c:y val="-9.259076990376202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CDABC5B-4918-4FDA-8A70-0BB2AC7C6961}" type="VALUE">
                  <a:rPr lang="en-US" sz="1200"/>
                  <a:pPr>
                    <a:defRPr sz="900" b="0" i="0" u="none" strike="noStrike" kern="1200" baseline="0">
                      <a:solidFill>
                        <a:schemeClr val="lt1">
                          <a:lumMod val="8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60421944772101"/>
                  <c:h val="0.14953703703703702"/>
                </c:manualLayout>
              </c15:layout>
              <c15:dlblFieldTable/>
              <c15:showDataLabelsRange val="0"/>
            </c:ext>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349082964356787"/>
              <c:y val="-2.77775955088947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357272437412726"/>
                  <c:h val="0.14953703703703702"/>
                </c:manualLayout>
              </c15:layout>
            </c:ext>
          </c:extLst>
        </c:dLbl>
      </c:pivotFmt>
      <c:pivotFmt>
        <c:idx val="1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154857061182305"/>
              <c:y val="-9.259076990376202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CDABC5B-4918-4FDA-8A70-0BB2AC7C6961}" type="VALUE">
                  <a:rPr lang="en-US" sz="1200"/>
                  <a:pPr>
                    <a:defRPr sz="900" b="0" i="0" u="none" strike="noStrike" kern="1200" baseline="0">
                      <a:solidFill>
                        <a:schemeClr val="lt1">
                          <a:lumMod val="8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60421944772101"/>
                  <c:h val="0.14953703703703702"/>
                </c:manualLayout>
              </c15:layout>
              <c15:dlblFieldTable/>
              <c15:showDataLabelsRange val="0"/>
            </c:ext>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845580140951578"/>
              <c:y val="-2.777772780507286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357272437412726"/>
                  <c:h val="0.14953703703703702"/>
                </c:manualLayout>
              </c15:layout>
            </c:ext>
          </c:extLst>
        </c:dLbl>
      </c:pivotFmt>
      <c:pivotFmt>
        <c:idx val="14"/>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8651354829865905"/>
              <c:y val="4.4495096778139776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CDABC5B-4918-4FDA-8A70-0BB2AC7C6961}" type="VALUE">
                  <a:rPr lang="en-US" sz="12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60421944772101"/>
                  <c:h val="0.14953703703703702"/>
                </c:manualLayout>
              </c15:layout>
              <c15:dlblFieldTable/>
              <c15:showDataLabelsRange val="0"/>
            </c:ext>
          </c:extLst>
        </c:dLbl>
      </c:pivotFmt>
    </c:pivotFmts>
    <c:plotArea>
      <c:layout/>
      <c:doughnutChart>
        <c:varyColors val="1"/>
        <c:ser>
          <c:idx val="0"/>
          <c:order val="0"/>
          <c:tx>
            <c:strRef>
              <c:f>'Group vs Solo Analysis'!$C$3</c:f>
              <c:strCache>
                <c:ptCount val="1"/>
                <c:pt idx="0">
                  <c:v>Total</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E82-4074-B72C-4F9946E9AD15}"/>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E82-4074-B72C-4F9946E9AD15}"/>
              </c:ext>
            </c:extLst>
          </c:dPt>
          <c:dLbls>
            <c:dLbl>
              <c:idx val="0"/>
              <c:layout>
                <c:manualLayout>
                  <c:x val="0.30845580140951578"/>
                  <c:y val="-2.777772780507286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357272437412726"/>
                      <c:h val="0.14953703703703702"/>
                    </c:manualLayout>
                  </c15:layout>
                </c:ext>
                <c:ext xmlns:c16="http://schemas.microsoft.com/office/drawing/2014/chart" uri="{C3380CC4-5D6E-409C-BE32-E72D297353CC}">
                  <c16:uniqueId val="{00000001-0E82-4074-B72C-4F9946E9AD15}"/>
                </c:ext>
              </c:extLst>
            </c:dLbl>
            <c:dLbl>
              <c:idx val="1"/>
              <c:layout>
                <c:manualLayout>
                  <c:x val="-0.28651354829865905"/>
                  <c:y val="4.4495096778139776E-3"/>
                </c:manualLayout>
              </c:layout>
              <c:tx>
                <c:rich>
                  <a:bodyPr/>
                  <a:lstStyle/>
                  <a:p>
                    <a:fld id="{4CDABC5B-4918-4FDA-8A70-0BB2AC7C6961}" type="VALUE">
                      <a:rPr lang="en-US" sz="1200"/>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24160421944772101"/>
                      <c:h val="0.14953703703703702"/>
                    </c:manualLayout>
                  </c15:layout>
                  <c15:dlblFieldTable/>
                  <c15:showDataLabelsRange val="0"/>
                </c:ext>
                <c:ext xmlns:c16="http://schemas.microsoft.com/office/drawing/2014/chart" uri="{C3380CC4-5D6E-409C-BE32-E72D297353CC}">
                  <c16:uniqueId val="{00000003-0E82-4074-B72C-4F9946E9AD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'Group vs Solo Analysis'!$B$4:$B$6</c:f>
              <c:strCache>
                <c:ptCount val="2"/>
                <c:pt idx="0">
                  <c:v>Group</c:v>
                </c:pt>
                <c:pt idx="1">
                  <c:v>Solo</c:v>
                </c:pt>
              </c:strCache>
            </c:strRef>
          </c:cat>
          <c:val>
            <c:numRef>
              <c:f>'Group vs Solo Analysis'!$C$4:$C$6</c:f>
              <c:numCache>
                <c:formatCode>General</c:formatCode>
                <c:ptCount val="2"/>
                <c:pt idx="0">
                  <c:v>1687846.899999999</c:v>
                </c:pt>
                <c:pt idx="1">
                  <c:v>6720958.1999999983</c:v>
                </c:pt>
              </c:numCache>
            </c:numRef>
          </c:val>
          <c:extLst>
            <c:ext xmlns:c16="http://schemas.microsoft.com/office/drawing/2014/chart" uri="{C3380CC4-5D6E-409C-BE32-E72D297353CC}">
              <c16:uniqueId val="{00000004-0E82-4074-B72C-4F9946E9AD1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Streaming Performance Dataset.csv.xlsx]Year Analysis!no of artists debuted in a year</c:name>
    <c:fmtId val="3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No. of Artist debuted in a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Analysis'!$B$1</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'Year Analysis'!$A$2:$A$63</c:f>
              <c:strCache>
                <c:ptCount val="61"/>
                <c:pt idx="0">
                  <c:v>1939</c:v>
                </c:pt>
                <c:pt idx="1">
                  <c:v>1949</c:v>
                </c:pt>
                <c:pt idx="2">
                  <c:v>1954</c:v>
                </c:pt>
                <c:pt idx="3">
                  <c:v>1955</c:v>
                </c:pt>
                <c:pt idx="4">
                  <c:v>1962</c:v>
                </c:pt>
                <c:pt idx="5">
                  <c:v>1963</c:v>
                </c:pt>
                <c:pt idx="6">
                  <c:v>1964</c:v>
                </c:pt>
                <c:pt idx="7">
                  <c:v>1966</c:v>
                </c:pt>
                <c:pt idx="8">
                  <c:v>1967</c:v>
                </c:pt>
                <c:pt idx="9">
                  <c:v>1968</c:v>
                </c:pt>
                <c:pt idx="10">
                  <c:v>1969</c:v>
                </c:pt>
                <c:pt idx="11">
                  <c:v>1971</c:v>
                </c:pt>
                <c:pt idx="12">
                  <c:v>1972</c:v>
                </c:pt>
                <c:pt idx="13">
                  <c:v>1973</c:v>
                </c:pt>
                <c:pt idx="14">
                  <c:v>1975</c:v>
                </c:pt>
                <c:pt idx="15">
                  <c:v>1977</c:v>
                </c:pt>
                <c:pt idx="16">
                  <c:v>1978</c:v>
                </c:pt>
                <c:pt idx="17">
                  <c:v>1979</c:v>
                </c:pt>
                <c:pt idx="18">
                  <c:v>1980</c:v>
                </c:pt>
                <c:pt idx="19">
                  <c:v>1981</c:v>
                </c:pt>
                <c:pt idx="20">
                  <c:v>1982</c:v>
                </c:pt>
                <c:pt idx="21">
                  <c:v>1983</c:v>
                </c:pt>
                <c:pt idx="22">
                  <c:v>1984</c:v>
                </c:pt>
                <c:pt idx="23">
                  <c:v>1985</c:v>
                </c:pt>
                <c:pt idx="24">
                  <c:v>1987</c:v>
                </c:pt>
                <c:pt idx="25">
                  <c:v>1988</c:v>
                </c:pt>
                <c:pt idx="26">
                  <c:v>1989</c:v>
                </c:pt>
                <c:pt idx="27">
                  <c:v>1990</c:v>
                </c:pt>
                <c:pt idx="28">
                  <c:v>1991</c:v>
                </c:pt>
                <c:pt idx="29">
                  <c:v>1992</c:v>
                </c:pt>
                <c:pt idx="30">
                  <c:v>1993</c:v>
                </c:pt>
                <c:pt idx="31">
                  <c:v>1994</c:v>
                </c:pt>
                <c:pt idx="32">
                  <c:v>1995</c:v>
                </c:pt>
                <c:pt idx="33">
                  <c:v>1996</c:v>
                </c:pt>
                <c:pt idx="34">
                  <c:v>1997</c:v>
                </c:pt>
                <c:pt idx="35">
                  <c:v>1998</c:v>
                </c:pt>
                <c:pt idx="36">
                  <c:v>1999</c:v>
                </c:pt>
                <c:pt idx="37">
                  <c:v>2000</c:v>
                </c:pt>
                <c:pt idx="38">
                  <c:v>2001</c:v>
                </c:pt>
                <c:pt idx="39">
                  <c:v>2002</c:v>
                </c:pt>
                <c:pt idx="40">
                  <c:v>2003</c:v>
                </c:pt>
                <c:pt idx="41">
                  <c:v>2004</c:v>
                </c:pt>
                <c:pt idx="42">
                  <c:v>2005</c:v>
                </c:pt>
                <c:pt idx="43">
                  <c:v>2006</c:v>
                </c:pt>
                <c:pt idx="44">
                  <c:v>2007</c:v>
                </c:pt>
                <c:pt idx="45">
                  <c:v>2008</c:v>
                </c:pt>
                <c:pt idx="46">
                  <c:v>2009</c:v>
                </c:pt>
                <c:pt idx="47">
                  <c:v>2010</c:v>
                </c:pt>
                <c:pt idx="48">
                  <c:v>2011</c:v>
                </c:pt>
                <c:pt idx="49">
                  <c:v>2012</c:v>
                </c:pt>
                <c:pt idx="50">
                  <c:v>2013</c:v>
                </c:pt>
                <c:pt idx="51">
                  <c:v>2014</c:v>
                </c:pt>
                <c:pt idx="52">
                  <c:v>2015</c:v>
                </c:pt>
                <c:pt idx="53">
                  <c:v>2016</c:v>
                </c:pt>
                <c:pt idx="54">
                  <c:v>2017</c:v>
                </c:pt>
                <c:pt idx="55">
                  <c:v>2018</c:v>
                </c:pt>
                <c:pt idx="56">
                  <c:v>2019</c:v>
                </c:pt>
                <c:pt idx="57">
                  <c:v>2020</c:v>
                </c:pt>
                <c:pt idx="58">
                  <c:v>2021</c:v>
                </c:pt>
                <c:pt idx="59">
                  <c:v>2022</c:v>
                </c:pt>
                <c:pt idx="60">
                  <c:v>2023</c:v>
                </c:pt>
              </c:strCache>
            </c:strRef>
          </c:cat>
          <c:val>
            <c:numRef>
              <c:f>'Year Analysis'!$B$2:$B$63</c:f>
              <c:numCache>
                <c:formatCode>General</c:formatCode>
                <c:ptCount val="61"/>
                <c:pt idx="0">
                  <c:v>1</c:v>
                </c:pt>
                <c:pt idx="1">
                  <c:v>1</c:v>
                </c:pt>
                <c:pt idx="2">
                  <c:v>1</c:v>
                </c:pt>
                <c:pt idx="3">
                  <c:v>1</c:v>
                </c:pt>
                <c:pt idx="4">
                  <c:v>3</c:v>
                </c:pt>
                <c:pt idx="5">
                  <c:v>1</c:v>
                </c:pt>
                <c:pt idx="6">
                  <c:v>2</c:v>
                </c:pt>
                <c:pt idx="7">
                  <c:v>1</c:v>
                </c:pt>
                <c:pt idx="8">
                  <c:v>3</c:v>
                </c:pt>
                <c:pt idx="9">
                  <c:v>1</c:v>
                </c:pt>
                <c:pt idx="10">
                  <c:v>2</c:v>
                </c:pt>
                <c:pt idx="11">
                  <c:v>2</c:v>
                </c:pt>
                <c:pt idx="12">
                  <c:v>2</c:v>
                </c:pt>
                <c:pt idx="13">
                  <c:v>3</c:v>
                </c:pt>
                <c:pt idx="14">
                  <c:v>2</c:v>
                </c:pt>
                <c:pt idx="15">
                  <c:v>3</c:v>
                </c:pt>
                <c:pt idx="16">
                  <c:v>1</c:v>
                </c:pt>
                <c:pt idx="17">
                  <c:v>3</c:v>
                </c:pt>
                <c:pt idx="18">
                  <c:v>4</c:v>
                </c:pt>
                <c:pt idx="19">
                  <c:v>2</c:v>
                </c:pt>
                <c:pt idx="20">
                  <c:v>3</c:v>
                </c:pt>
                <c:pt idx="21">
                  <c:v>2</c:v>
                </c:pt>
                <c:pt idx="22">
                  <c:v>3</c:v>
                </c:pt>
                <c:pt idx="23">
                  <c:v>3</c:v>
                </c:pt>
                <c:pt idx="24">
                  <c:v>1</c:v>
                </c:pt>
                <c:pt idx="25">
                  <c:v>2</c:v>
                </c:pt>
                <c:pt idx="26">
                  <c:v>3</c:v>
                </c:pt>
                <c:pt idx="27">
                  <c:v>3</c:v>
                </c:pt>
                <c:pt idx="28">
                  <c:v>5</c:v>
                </c:pt>
                <c:pt idx="29">
                  <c:v>4</c:v>
                </c:pt>
                <c:pt idx="30">
                  <c:v>2</c:v>
                </c:pt>
                <c:pt idx="31">
                  <c:v>6</c:v>
                </c:pt>
                <c:pt idx="32">
                  <c:v>5</c:v>
                </c:pt>
                <c:pt idx="33">
                  <c:v>6</c:v>
                </c:pt>
                <c:pt idx="34">
                  <c:v>6</c:v>
                </c:pt>
                <c:pt idx="35">
                  <c:v>5</c:v>
                </c:pt>
                <c:pt idx="36">
                  <c:v>10</c:v>
                </c:pt>
                <c:pt idx="37">
                  <c:v>8</c:v>
                </c:pt>
                <c:pt idx="38">
                  <c:v>9</c:v>
                </c:pt>
                <c:pt idx="39">
                  <c:v>12</c:v>
                </c:pt>
                <c:pt idx="40">
                  <c:v>12</c:v>
                </c:pt>
                <c:pt idx="41">
                  <c:v>13</c:v>
                </c:pt>
                <c:pt idx="42">
                  <c:v>9</c:v>
                </c:pt>
                <c:pt idx="43">
                  <c:v>21</c:v>
                </c:pt>
                <c:pt idx="44">
                  <c:v>18</c:v>
                </c:pt>
                <c:pt idx="45">
                  <c:v>20</c:v>
                </c:pt>
                <c:pt idx="46">
                  <c:v>24</c:v>
                </c:pt>
                <c:pt idx="47">
                  <c:v>28</c:v>
                </c:pt>
                <c:pt idx="48">
                  <c:v>22</c:v>
                </c:pt>
                <c:pt idx="49">
                  <c:v>27</c:v>
                </c:pt>
                <c:pt idx="50">
                  <c:v>24</c:v>
                </c:pt>
                <c:pt idx="51">
                  <c:v>32</c:v>
                </c:pt>
                <c:pt idx="52">
                  <c:v>29</c:v>
                </c:pt>
                <c:pt idx="53">
                  <c:v>17</c:v>
                </c:pt>
                <c:pt idx="54">
                  <c:v>28</c:v>
                </c:pt>
                <c:pt idx="55">
                  <c:v>14</c:v>
                </c:pt>
                <c:pt idx="56">
                  <c:v>11</c:v>
                </c:pt>
                <c:pt idx="57">
                  <c:v>6</c:v>
                </c:pt>
                <c:pt idx="58">
                  <c:v>4</c:v>
                </c:pt>
                <c:pt idx="59">
                  <c:v>2</c:v>
                </c:pt>
                <c:pt idx="60">
                  <c:v>2</c:v>
                </c:pt>
              </c:numCache>
            </c:numRef>
          </c:val>
          <c:smooth val="0"/>
          <c:extLst>
            <c:ext xmlns:c16="http://schemas.microsoft.com/office/drawing/2014/chart" uri="{C3380CC4-5D6E-409C-BE32-E72D297353CC}">
              <c16:uniqueId val="{00000002-913A-426B-A939-3CCCE2722C85}"/>
            </c:ext>
          </c:extLst>
        </c:ser>
        <c:dLbls>
          <c:showLegendKey val="0"/>
          <c:showVal val="0"/>
          <c:showCatName val="0"/>
          <c:showSerName val="0"/>
          <c:showPercent val="0"/>
          <c:showBubbleSize val="0"/>
        </c:dLbls>
        <c:marker val="1"/>
        <c:smooth val="0"/>
        <c:axId val="757254991"/>
        <c:axId val="714563823"/>
      </c:lineChart>
      <c:catAx>
        <c:axId val="7572549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4563823"/>
        <c:crosses val="autoZero"/>
        <c:auto val="1"/>
        <c:lblAlgn val="ctr"/>
        <c:lblOffset val="100"/>
        <c:noMultiLvlLbl val="0"/>
      </c:catAx>
      <c:valAx>
        <c:axId val="7145638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725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Streaming Performance Dataset.csv.xlsx]Language based analysis!Language</c:name>
    <c:fmtId val="4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Stream Per</a:t>
            </a:r>
            <a:r>
              <a:rPr lang="en-US" baseline="0"/>
              <a:t> Language</a:t>
            </a:r>
          </a:p>
        </c:rich>
      </c:tx>
      <c:layout>
        <c:manualLayout>
          <c:xMode val="edge"/>
          <c:yMode val="edge"/>
          <c:x val="0.44775673053105763"/>
          <c:y val="8.70322434879144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42000"/>
                  <a:satMod val="103000"/>
                  <a:lumMod val="102000"/>
                  <a:tint val="94000"/>
                </a:schemeClr>
              </a:gs>
              <a:gs pos="50000">
                <a:schemeClr val="accent6">
                  <a:tint val="42000"/>
                  <a:satMod val="110000"/>
                  <a:lumMod val="100000"/>
                  <a:shade val="100000"/>
                </a:schemeClr>
              </a:gs>
              <a:gs pos="100000">
                <a:schemeClr val="accent6">
                  <a:tint val="42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8051531193946299E-2"/>
              <c:y val="-8.2250255833788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655798671375674E-2"/>
              <c:y val="-0.1142030562408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1965235970813196E-4"/>
              <c:y val="-0.131037697897370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41000"/>
                  <a:satMod val="103000"/>
                  <a:lumMod val="102000"/>
                  <a:tint val="94000"/>
                </a:schemeClr>
              </a:gs>
              <a:gs pos="50000">
                <a:schemeClr val="accent6">
                  <a:shade val="41000"/>
                  <a:satMod val="110000"/>
                  <a:lumMod val="100000"/>
                  <a:shade val="100000"/>
                </a:schemeClr>
              </a:gs>
              <a:gs pos="100000">
                <a:schemeClr val="accent6">
                  <a:shade val="41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396458723161845E-3"/>
              <c:y val="-0.115819854777626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42000"/>
                  <a:satMod val="103000"/>
                  <a:lumMod val="102000"/>
                  <a:tint val="94000"/>
                </a:schemeClr>
              </a:gs>
              <a:gs pos="50000">
                <a:schemeClr val="accent6">
                  <a:tint val="42000"/>
                  <a:satMod val="110000"/>
                  <a:lumMod val="100000"/>
                  <a:shade val="100000"/>
                </a:schemeClr>
              </a:gs>
              <a:gs pos="100000">
                <a:schemeClr val="accent6">
                  <a:tint val="42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8051531193946299E-2"/>
              <c:y val="-8.2250255833788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1965235970813196E-4"/>
              <c:y val="-0.131037697897370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6">
                  <a:tint val="89000"/>
                  <a:satMod val="103000"/>
                  <a:lumMod val="102000"/>
                  <a:tint val="94000"/>
                </a:schemeClr>
              </a:gs>
              <a:gs pos="50000">
                <a:schemeClr val="accent6">
                  <a:tint val="89000"/>
                  <a:satMod val="110000"/>
                  <a:lumMod val="100000"/>
                  <a:shade val="100000"/>
                </a:schemeClr>
              </a:gs>
              <a:gs pos="100000">
                <a:schemeClr val="accent6">
                  <a:tint val="89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6">
                  <a:shade val="88000"/>
                  <a:satMod val="103000"/>
                  <a:lumMod val="102000"/>
                  <a:tint val="94000"/>
                </a:schemeClr>
              </a:gs>
              <a:gs pos="50000">
                <a:schemeClr val="accent6">
                  <a:shade val="88000"/>
                  <a:satMod val="110000"/>
                  <a:lumMod val="100000"/>
                  <a:shade val="100000"/>
                </a:schemeClr>
              </a:gs>
              <a:gs pos="100000">
                <a:schemeClr val="accent6">
                  <a:shade val="8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655798671375674E-2"/>
              <c:y val="-0.1142030562408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6">
                  <a:shade val="41000"/>
                  <a:satMod val="103000"/>
                  <a:lumMod val="102000"/>
                  <a:tint val="94000"/>
                </a:schemeClr>
              </a:gs>
              <a:gs pos="50000">
                <a:schemeClr val="accent6">
                  <a:shade val="41000"/>
                  <a:satMod val="110000"/>
                  <a:lumMod val="100000"/>
                  <a:shade val="100000"/>
                </a:schemeClr>
              </a:gs>
              <a:gs pos="100000">
                <a:schemeClr val="accent6">
                  <a:shade val="41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396458723161845E-3"/>
              <c:y val="-0.115819854777626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tint val="42000"/>
                  <a:satMod val="103000"/>
                  <a:lumMod val="102000"/>
                  <a:tint val="94000"/>
                </a:schemeClr>
              </a:gs>
              <a:gs pos="50000">
                <a:schemeClr val="accent6">
                  <a:tint val="42000"/>
                  <a:satMod val="110000"/>
                  <a:lumMod val="100000"/>
                  <a:shade val="100000"/>
                </a:schemeClr>
              </a:gs>
              <a:gs pos="100000">
                <a:schemeClr val="accent6">
                  <a:tint val="42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8051531193946299E-2"/>
              <c:y val="-8.2250255833788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1965235970813196E-4"/>
              <c:y val="-0.131037697897370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6">
                  <a:tint val="89000"/>
                  <a:satMod val="103000"/>
                  <a:lumMod val="102000"/>
                  <a:tint val="94000"/>
                </a:schemeClr>
              </a:gs>
              <a:gs pos="50000">
                <a:schemeClr val="accent6">
                  <a:tint val="89000"/>
                  <a:satMod val="110000"/>
                  <a:lumMod val="100000"/>
                  <a:shade val="100000"/>
                </a:schemeClr>
              </a:gs>
              <a:gs pos="100000">
                <a:schemeClr val="accent6">
                  <a:tint val="89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6">
                  <a:shade val="88000"/>
                  <a:satMod val="103000"/>
                  <a:lumMod val="102000"/>
                  <a:tint val="94000"/>
                </a:schemeClr>
              </a:gs>
              <a:gs pos="50000">
                <a:schemeClr val="accent6">
                  <a:shade val="88000"/>
                  <a:satMod val="110000"/>
                  <a:lumMod val="100000"/>
                  <a:shade val="100000"/>
                </a:schemeClr>
              </a:gs>
              <a:gs pos="100000">
                <a:schemeClr val="accent6">
                  <a:shade val="8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655798671375674E-2"/>
              <c:y val="-0.1142030562408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6">
                  <a:shade val="41000"/>
                  <a:satMod val="103000"/>
                  <a:lumMod val="102000"/>
                  <a:tint val="94000"/>
                </a:schemeClr>
              </a:gs>
              <a:gs pos="50000">
                <a:schemeClr val="accent6">
                  <a:shade val="41000"/>
                  <a:satMod val="110000"/>
                  <a:lumMod val="100000"/>
                  <a:shade val="100000"/>
                </a:schemeClr>
              </a:gs>
              <a:gs pos="100000">
                <a:schemeClr val="accent6">
                  <a:shade val="41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396458723161845E-3"/>
              <c:y val="-0.115819854777626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'Language based analysis'!$B$1</c:f>
              <c:strCache>
                <c:ptCount val="1"/>
                <c:pt idx="0">
                  <c:v>Total</c:v>
                </c:pt>
              </c:strCache>
            </c:strRef>
          </c:tx>
          <c:explosion val="18"/>
          <c:dPt>
            <c:idx val="0"/>
            <c:bubble3D val="0"/>
            <c:explosion val="38"/>
            <c:spPr>
              <a:gradFill rotWithShape="1">
                <a:gsLst>
                  <a:gs pos="0">
                    <a:schemeClr val="accent6">
                      <a:tint val="42000"/>
                      <a:satMod val="103000"/>
                      <a:lumMod val="102000"/>
                      <a:tint val="94000"/>
                    </a:schemeClr>
                  </a:gs>
                  <a:gs pos="50000">
                    <a:schemeClr val="accent6">
                      <a:tint val="42000"/>
                      <a:satMod val="110000"/>
                      <a:lumMod val="100000"/>
                      <a:shade val="100000"/>
                    </a:schemeClr>
                  </a:gs>
                  <a:gs pos="100000">
                    <a:schemeClr val="accent6">
                      <a:tint val="42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0B2-4008-B03B-3CF61B78998C}"/>
              </c:ext>
            </c:extLst>
          </c:dPt>
          <c:dPt>
            <c:idx val="1"/>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0B2-4008-B03B-3CF61B78998C}"/>
              </c:ext>
            </c:extLst>
          </c:dPt>
          <c:dPt>
            <c:idx val="2"/>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0B2-4008-B03B-3CF61B78998C}"/>
              </c:ext>
            </c:extLst>
          </c:dPt>
          <c:dPt>
            <c:idx val="3"/>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0B2-4008-B03B-3CF61B78998C}"/>
              </c:ext>
            </c:extLst>
          </c:dPt>
          <c:dPt>
            <c:idx val="4"/>
            <c:bubble3D val="0"/>
            <c:spPr>
              <a:gradFill rotWithShape="1">
                <a:gsLst>
                  <a:gs pos="0">
                    <a:schemeClr val="accent6">
                      <a:tint val="89000"/>
                      <a:satMod val="103000"/>
                      <a:lumMod val="102000"/>
                      <a:tint val="94000"/>
                    </a:schemeClr>
                  </a:gs>
                  <a:gs pos="50000">
                    <a:schemeClr val="accent6">
                      <a:tint val="89000"/>
                      <a:satMod val="110000"/>
                      <a:lumMod val="100000"/>
                      <a:shade val="100000"/>
                    </a:schemeClr>
                  </a:gs>
                  <a:gs pos="100000">
                    <a:schemeClr val="accent6">
                      <a:tint val="89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0B2-4008-B03B-3CF61B78998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A0B2-4008-B03B-3CF61B78998C}"/>
              </c:ext>
            </c:extLst>
          </c:dPt>
          <c:dPt>
            <c:idx val="6"/>
            <c:bubble3D val="0"/>
            <c:spPr>
              <a:gradFill rotWithShape="1">
                <a:gsLst>
                  <a:gs pos="0">
                    <a:schemeClr val="accent6">
                      <a:shade val="88000"/>
                      <a:satMod val="103000"/>
                      <a:lumMod val="102000"/>
                      <a:tint val="94000"/>
                    </a:schemeClr>
                  </a:gs>
                  <a:gs pos="50000">
                    <a:schemeClr val="accent6">
                      <a:shade val="88000"/>
                      <a:satMod val="110000"/>
                      <a:lumMod val="100000"/>
                      <a:shade val="100000"/>
                    </a:schemeClr>
                  </a:gs>
                  <a:gs pos="100000">
                    <a:schemeClr val="accent6">
                      <a:shade val="8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A0B2-4008-B03B-3CF61B78998C}"/>
              </c:ext>
            </c:extLst>
          </c:dPt>
          <c:dPt>
            <c:idx val="7"/>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A0B2-4008-B03B-3CF61B78998C}"/>
              </c:ext>
            </c:extLst>
          </c:dPt>
          <c:dPt>
            <c:idx val="8"/>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A0B2-4008-B03B-3CF61B78998C}"/>
              </c:ext>
            </c:extLst>
          </c:dPt>
          <c:dPt>
            <c:idx val="9"/>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A0B2-4008-B03B-3CF61B78998C}"/>
              </c:ext>
            </c:extLst>
          </c:dPt>
          <c:dPt>
            <c:idx val="10"/>
            <c:bubble3D val="0"/>
            <c:spPr>
              <a:gradFill rotWithShape="1">
                <a:gsLst>
                  <a:gs pos="0">
                    <a:schemeClr val="accent6">
                      <a:shade val="41000"/>
                      <a:satMod val="103000"/>
                      <a:lumMod val="102000"/>
                      <a:tint val="94000"/>
                    </a:schemeClr>
                  </a:gs>
                  <a:gs pos="50000">
                    <a:schemeClr val="accent6">
                      <a:shade val="41000"/>
                      <a:satMod val="110000"/>
                      <a:lumMod val="100000"/>
                      <a:shade val="100000"/>
                    </a:schemeClr>
                  </a:gs>
                  <a:gs pos="100000">
                    <a:schemeClr val="accent6">
                      <a:shade val="41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A0B2-4008-B03B-3CF61B78998C}"/>
              </c:ext>
            </c:extLst>
          </c:dPt>
          <c:dLbls>
            <c:dLbl>
              <c:idx val="0"/>
              <c:layout>
                <c:manualLayout>
                  <c:x val="1.8051531193946299E-2"/>
                  <c:y val="-8.22502558337887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B2-4008-B03B-3CF61B78998C}"/>
                </c:ext>
              </c:extLst>
            </c:dLbl>
            <c:dLbl>
              <c:idx val="1"/>
              <c:layout>
                <c:manualLayout>
                  <c:x val="-9.1965235970813196E-4"/>
                  <c:y val="-0.1310376978973700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B2-4008-B03B-3CF61B78998C}"/>
                </c:ext>
              </c:extLst>
            </c:dLbl>
            <c:dLbl>
              <c:idx val="8"/>
              <c:layout>
                <c:manualLayout>
                  <c:x val="1.3655798671375674E-2"/>
                  <c:y val="-0.114203056240828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0B2-4008-B03B-3CF61B78998C}"/>
                </c:ext>
              </c:extLst>
            </c:dLbl>
            <c:dLbl>
              <c:idx val="10"/>
              <c:layout>
                <c:manualLayout>
                  <c:x val="5.4396458723161845E-3"/>
                  <c:y val="-0.1158198547776260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0B2-4008-B03B-3CF61B7899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'Language based analysis'!$A$2:$A$13</c:f>
              <c:strCache>
                <c:ptCount val="11"/>
                <c:pt idx="0">
                  <c:v>English</c:v>
                </c:pt>
                <c:pt idx="1">
                  <c:v>French</c:v>
                </c:pt>
                <c:pt idx="2">
                  <c:v>German</c:v>
                </c:pt>
                <c:pt idx="3">
                  <c:v>Hindi</c:v>
                </c:pt>
                <c:pt idx="4">
                  <c:v>Italian</c:v>
                </c:pt>
                <c:pt idx="5">
                  <c:v>Korean</c:v>
                </c:pt>
                <c:pt idx="6">
                  <c:v>Portuguese</c:v>
                </c:pt>
                <c:pt idx="7">
                  <c:v>Punjabi</c:v>
                </c:pt>
                <c:pt idx="8">
                  <c:v>Spanish</c:v>
                </c:pt>
                <c:pt idx="9">
                  <c:v>Tamil</c:v>
                </c:pt>
                <c:pt idx="10">
                  <c:v>Urdu</c:v>
                </c:pt>
              </c:strCache>
            </c:strRef>
          </c:cat>
          <c:val>
            <c:numRef>
              <c:f>'Language based analysis'!$B$2:$B$13</c:f>
              <c:numCache>
                <c:formatCode>General</c:formatCode>
                <c:ptCount val="11"/>
                <c:pt idx="0">
                  <c:v>6055232.700000002</c:v>
                </c:pt>
                <c:pt idx="1">
                  <c:v>41569.9</c:v>
                </c:pt>
                <c:pt idx="2">
                  <c:v>81201.2</c:v>
                </c:pt>
                <c:pt idx="3">
                  <c:v>157453.1</c:v>
                </c:pt>
                <c:pt idx="4">
                  <c:v>26576.399999999998</c:v>
                </c:pt>
                <c:pt idx="5">
                  <c:v>157338.70000000001</c:v>
                </c:pt>
                <c:pt idx="6">
                  <c:v>164438.99999999997</c:v>
                </c:pt>
                <c:pt idx="7">
                  <c:v>7550.3</c:v>
                </c:pt>
                <c:pt idx="8">
                  <c:v>1679371.0999999996</c:v>
                </c:pt>
                <c:pt idx="9">
                  <c:v>30138.199999999997</c:v>
                </c:pt>
                <c:pt idx="10">
                  <c:v>7934.5</c:v>
                </c:pt>
              </c:numCache>
            </c:numRef>
          </c:val>
          <c:extLst>
            <c:ext xmlns:c16="http://schemas.microsoft.com/office/drawing/2014/chart" uri="{C3380CC4-5D6E-409C-BE32-E72D297353CC}">
              <c16:uniqueId val="{00000016-A0B2-4008-B03B-3CF61B78998C}"/>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9643158119219848"/>
          <c:y val="9.5544039099220227E-2"/>
          <c:w val="0.18013608282992505"/>
          <c:h val="0.77014363422675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Streaming Performance Dataset.csv.xlsx]Language based analysis!artist language</c:name>
    <c:fmtId val="5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Artists</a:t>
            </a:r>
            <a:r>
              <a:rPr lang="en-US" baseline="0"/>
              <a:t> Language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2AB03D"/>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AB03D"/>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AB03D"/>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'Language based analysis'!$B$16</c:f>
              <c:strCache>
                <c:ptCount val="1"/>
                <c:pt idx="0">
                  <c:v>Total</c:v>
                </c:pt>
              </c:strCache>
            </c:strRef>
          </c:tx>
          <c:spPr>
            <a:solidFill>
              <a:srgbClr val="2AB03D"/>
            </a:solidFill>
            <a:ln>
              <a:noFill/>
            </a:ln>
            <a:effectLst>
              <a:outerShdw blurRad="57150" dist="19050" dir="5400000" algn="ctr" rotWithShape="0">
                <a:srgbClr val="000000">
                  <a:alpha val="63000"/>
                </a:srgbClr>
              </a:outerShdw>
            </a:effectLst>
          </c:spPr>
          <c:invertIfNegative val="0"/>
          <c:cat>
            <c:strRef>
              <c:f>'Language based analysis'!$A$17:$A$517</c:f>
              <c:strCache>
                <c:ptCount val="500"/>
                <c:pt idx="0">
                  <c:v>Drake</c:v>
                </c:pt>
                <c:pt idx="1">
                  <c:v>Taylor Swift</c:v>
                </c:pt>
                <c:pt idx="2">
                  <c:v>Bad Bunny</c:v>
                </c:pt>
                <c:pt idx="3">
                  <c:v>The Weeknd</c:v>
                </c:pt>
                <c:pt idx="4">
                  <c:v>Justin Bieber</c:v>
                </c:pt>
                <c:pt idx="5">
                  <c:v>Ariana Grande</c:v>
                </c:pt>
                <c:pt idx="6">
                  <c:v>Travis Scott</c:v>
                </c:pt>
                <c:pt idx="7">
                  <c:v>Kanye West</c:v>
                </c:pt>
                <c:pt idx="8">
                  <c:v>Ed Sheeran</c:v>
                </c:pt>
                <c:pt idx="9">
                  <c:v>Eminem</c:v>
                </c:pt>
                <c:pt idx="10">
                  <c:v>Rihanna</c:v>
                </c:pt>
                <c:pt idx="11">
                  <c:v>Billie Eilish</c:v>
                </c:pt>
                <c:pt idx="12">
                  <c:v>Bruno Mars</c:v>
                </c:pt>
                <c:pt idx="13">
                  <c:v>Kendrick Lamar</c:v>
                </c:pt>
                <c:pt idx="14">
                  <c:v>Post Malone</c:v>
                </c:pt>
                <c:pt idx="15">
                  <c:v>J Balvin</c:v>
                </c:pt>
                <c:pt idx="16">
                  <c:v>Future</c:v>
                </c:pt>
                <c:pt idx="17">
                  <c:v>BTS</c:v>
                </c:pt>
                <c:pt idx="18">
                  <c:v>Ozuna</c:v>
                </c:pt>
                <c:pt idx="19">
                  <c:v>Coldplay</c:v>
                </c:pt>
                <c:pt idx="20">
                  <c:v>Juice WRLD</c:v>
                </c:pt>
                <c:pt idx="21">
                  <c:v>Chris Brown</c:v>
                </c:pt>
                <c:pt idx="22">
                  <c:v>Nicki Minaj</c:v>
                </c:pt>
                <c:pt idx="23">
                  <c:v>Lana Del Rey</c:v>
                </c:pt>
                <c:pt idx="24">
                  <c:v>David Guetta</c:v>
                </c:pt>
                <c:pt idx="25">
                  <c:v>Dua Lipa</c:v>
                </c:pt>
                <c:pt idx="26">
                  <c:v>Daddy Yankee</c:v>
                </c:pt>
                <c:pt idx="27">
                  <c:v>Rauw Alejandro</c:v>
                </c:pt>
                <c:pt idx="28">
                  <c:v>Anuel AA</c:v>
                </c:pt>
                <c:pt idx="29">
                  <c:v>XXXTENTACION</c:v>
                </c:pt>
                <c:pt idx="30">
                  <c:v>Imagine Dragons</c:v>
                </c:pt>
                <c:pt idx="31">
                  <c:v>Lil Wayne</c:v>
                </c:pt>
                <c:pt idx="32">
                  <c:v>21 Savage</c:v>
                </c:pt>
                <c:pt idx="33">
                  <c:v>SZA</c:v>
                </c:pt>
                <c:pt idx="34">
                  <c:v>Arijit Singh</c:v>
                </c:pt>
                <c:pt idx="35">
                  <c:v>Lady Gaga</c:v>
                </c:pt>
                <c:pt idx="36">
                  <c:v>KAROL G</c:v>
                </c:pt>
                <c:pt idx="37">
                  <c:v>Lil Baby</c:v>
                </c:pt>
                <c:pt idx="38">
                  <c:v>Maroon 5</c:v>
                </c:pt>
                <c:pt idx="39">
                  <c:v>Khalid</c:v>
                </c:pt>
                <c:pt idx="40">
                  <c:v>BeyoncÃ©</c:v>
                </c:pt>
                <c:pt idx="41">
                  <c:v>Maluma</c:v>
                </c:pt>
                <c:pt idx="42">
                  <c:v>Feid</c:v>
                </c:pt>
                <c:pt idx="43">
                  <c:v>Calvin Harris</c:v>
                </c:pt>
                <c:pt idx="44">
                  <c:v>Myke Towers</c:v>
                </c:pt>
                <c:pt idx="45">
                  <c:v>Linkin Park</c:v>
                </c:pt>
                <c:pt idx="46">
                  <c:v>Peso Pluma</c:v>
                </c:pt>
                <c:pt idx="47">
                  <c:v>J. Cole</c:v>
                </c:pt>
                <c:pt idx="48">
                  <c:v>Lil Uzi Vert</c:v>
                </c:pt>
                <c:pt idx="49">
                  <c:v>Sia</c:v>
                </c:pt>
                <c:pt idx="50">
                  <c:v>Doja Cat</c:v>
                </c:pt>
                <c:pt idx="51">
                  <c:v>Shakira</c:v>
                </c:pt>
                <c:pt idx="52">
                  <c:v>Morgan Wallen</c:v>
                </c:pt>
                <c:pt idx="53">
                  <c:v>Young Thug</c:v>
                </c:pt>
                <c:pt idx="54">
                  <c:v>Farruko</c:v>
                </c:pt>
                <c:pt idx="55">
                  <c:v>Shawn Mendes</c:v>
                </c:pt>
                <c:pt idx="56">
                  <c:v>Harry Styles</c:v>
                </c:pt>
                <c:pt idx="57">
                  <c:v>Queen</c:v>
                </c:pt>
                <c:pt idx="58">
                  <c:v>Sam Smith</c:v>
                </c:pt>
                <c:pt idx="59">
                  <c:v>One Direction</c:v>
                </c:pt>
                <c:pt idx="60">
                  <c:v>Metro Boomin</c:v>
                </c:pt>
                <c:pt idx="61">
                  <c:v>Olivia Rodrigo</c:v>
                </c:pt>
                <c:pt idx="62">
                  <c:v>Adele</c:v>
                </c:pt>
                <c:pt idx="63">
                  <c:v>Pritam</c:v>
                </c:pt>
                <c:pt idx="64">
                  <c:v>Katy Perry</c:v>
                </c:pt>
                <c:pt idx="65">
                  <c:v>Gunna</c:v>
                </c:pt>
                <c:pt idx="66">
                  <c:v>Arctic Monkeys</c:v>
                </c:pt>
                <c:pt idx="67">
                  <c:v>Fuerza Regida</c:v>
                </c:pt>
                <c:pt idx="68">
                  <c:v>Junior H</c:v>
                </c:pt>
                <c:pt idx="69">
                  <c:v>Tyler, The Creator</c:v>
                </c:pt>
                <c:pt idx="70">
                  <c:v>Selena Gomez</c:v>
                </c:pt>
                <c:pt idx="71">
                  <c:v>Ty Dolla $ign</c:v>
                </c:pt>
                <c:pt idx="72">
                  <c:v>The Beatles</c:v>
                </c:pt>
                <c:pt idx="73">
                  <c:v>Pitbull</c:v>
                </c:pt>
                <c:pt idx="74">
                  <c:v>Nicky Jam</c:v>
                </c:pt>
                <c:pt idx="75">
                  <c:v>Playboi Carti</c:v>
                </c:pt>
                <c:pt idx="76">
                  <c:v>Halsey</c:v>
                </c:pt>
                <c:pt idx="77">
                  <c:v>Wiz Khalifa</c:v>
                </c:pt>
                <c:pt idx="78">
                  <c:v>Michael Jackson</c:v>
                </c:pt>
                <c:pt idx="79">
                  <c:v>Sabrina Carpenter</c:v>
                </c:pt>
                <c:pt idx="80">
                  <c:v>Frank Ocean</c:v>
                </c:pt>
                <c:pt idx="81">
                  <c:v>Die drei ???</c:v>
                </c:pt>
                <c:pt idx="82">
                  <c:v>JAÅ¸-Z</c:v>
                </c:pt>
                <c:pt idx="83">
                  <c:v>A$AP Rocky</c:v>
                </c:pt>
                <c:pt idx="84">
                  <c:v>Miley Cyrus</c:v>
                </c:pt>
                <c:pt idx="85">
                  <c:v>The Chainsmokers</c:v>
                </c:pt>
                <c:pt idx="86">
                  <c:v>Marshmello</c:v>
                </c:pt>
                <c:pt idx="87">
                  <c:v>Cardi B</c:v>
                </c:pt>
                <c:pt idx="88">
                  <c:v>Twenty One Pilots</c:v>
                </c:pt>
                <c:pt idx="89">
                  <c:v>Disney</c:v>
                </c:pt>
                <c:pt idx="90">
                  <c:v>ArcÃ¡ngel</c:v>
                </c:pt>
                <c:pt idx="91">
                  <c:v>Red Hot Chili Peppers</c:v>
                </c:pt>
                <c:pt idx="92">
                  <c:v>Camila Cabello</c:v>
                </c:pt>
                <c:pt idx="93">
                  <c:v>$uicideboy$</c:v>
                </c:pt>
                <c:pt idx="94">
                  <c:v>OneRepublic</c:v>
                </c:pt>
                <c:pt idx="95">
                  <c:v>Avicii</c:v>
                </c:pt>
                <c:pt idx="96">
                  <c:v>Diplo</c:v>
                </c:pt>
                <c:pt idx="97">
                  <c:v>Snoop Dogg</c:v>
                </c:pt>
                <c:pt idx="98">
                  <c:v>Romeo Santos</c:v>
                </c:pt>
                <c:pt idx="99">
                  <c:v>50 Cent</c:v>
                </c:pt>
                <c:pt idx="100">
                  <c:v>Natanael Cano</c:v>
                </c:pt>
                <c:pt idx="101">
                  <c:v>YoungBoy Never Broke Again</c:v>
                </c:pt>
                <c:pt idx="102">
                  <c:v>Mac Miller</c:v>
                </c:pt>
                <c:pt idx="103">
                  <c:v>DaBaby</c:v>
                </c:pt>
                <c:pt idx="104">
                  <c:v>Don Toliver</c:v>
                </c:pt>
                <c:pt idx="105">
                  <c:v>Zach Bryan</c:v>
                </c:pt>
                <c:pt idx="106">
                  <c:v>Kygo</c:v>
                </c:pt>
                <c:pt idx="107">
                  <c:v>Sech</c:v>
                </c:pt>
                <c:pt idx="108">
                  <c:v>The Neighbourhood</c:v>
                </c:pt>
                <c:pt idx="109">
                  <c:v>Quavo</c:v>
                </c:pt>
                <c:pt idx="110">
                  <c:v>Henrique &amp; Juliano</c:v>
                </c:pt>
                <c:pt idx="111">
                  <c:v>Luke Combs</c:v>
                </c:pt>
                <c:pt idx="112">
                  <c:v>Elton John</c:v>
                </c:pt>
                <c:pt idx="113">
                  <c:v>Manuel Turizo</c:v>
                </c:pt>
                <c:pt idx="114">
                  <c:v>Trippie Redd</c:v>
                </c:pt>
                <c:pt idx="115">
                  <c:v>Tate McRae</c:v>
                </c:pt>
                <c:pt idx="116">
                  <c:v>Lil Peep</c:v>
                </c:pt>
                <c:pt idx="117">
                  <c:v>Metallica</c:v>
                </c:pt>
                <c:pt idx="118">
                  <c:v>Don Omar</c:v>
                </c:pt>
                <c:pt idx="119">
                  <c:v>USHER</c:v>
                </c:pt>
                <c:pt idx="120">
                  <c:v>Charlie Puth</c:v>
                </c:pt>
                <c:pt idx="121">
                  <c:v>Justin Timberlake</c:v>
                </c:pt>
                <c:pt idx="122">
                  <c:v>TiÃ«sto</c:v>
                </c:pt>
                <c:pt idx="123">
                  <c:v>Sean Paul</c:v>
                </c:pt>
                <c:pt idx="124">
                  <c:v>Tyga</c:v>
                </c:pt>
                <c:pt idx="125">
                  <c:v>Kali Uchis</c:v>
                </c:pt>
                <c:pt idx="126">
                  <c:v>Kodak Black</c:v>
                </c:pt>
                <c:pt idx="127">
                  <c:v>Jason Derulo</c:v>
                </c:pt>
                <c:pt idx="128">
                  <c:v>BLACKPINK</c:v>
                </c:pt>
                <c:pt idx="129">
                  <c:v>JHAYCO</c:v>
                </c:pt>
                <c:pt idx="130">
                  <c:v>Bebe Rexha</c:v>
                </c:pt>
                <c:pt idx="131">
                  <c:v>Daft Punk</c:v>
                </c:pt>
                <c:pt idx="132">
                  <c:v>Luis Miguel</c:v>
                </c:pt>
                <c:pt idx="133">
                  <c:v>Demi Lovato</c:v>
                </c:pt>
                <c:pt idx="134">
                  <c:v>Akon</c:v>
                </c:pt>
                <c:pt idx="135">
                  <c:v>AC/DC</c:v>
                </c:pt>
                <c:pt idx="136">
                  <c:v>Sebastian Yatra</c:v>
                </c:pt>
                <c:pt idx="137">
                  <c:v>CarÃ­n LeÃ³n</c:v>
                </c:pt>
                <c:pt idx="138">
                  <c:v>Alan Walker</c:v>
                </c:pt>
                <c:pt idx="139">
                  <c:v>A Boogie Wit da Hoodie</c:v>
                </c:pt>
                <c:pt idx="140">
                  <c:v>Fleetwood Mac</c:v>
                </c:pt>
                <c:pt idx="141">
                  <c:v>Hozier</c:v>
                </c:pt>
                <c:pt idx="142">
                  <c:v>Ellie Goulding</c:v>
                </c:pt>
                <c:pt idx="143">
                  <c:v>Radiohead</c:v>
                </c:pt>
                <c:pt idx="144">
                  <c:v>Big Sean</c:v>
                </c:pt>
                <c:pt idx="145">
                  <c:v>Flo Rida</c:v>
                </c:pt>
                <c:pt idx="146">
                  <c:v>P!nk</c:v>
                </c:pt>
                <c:pt idx="147">
                  <c:v>Nirvana</c:v>
                </c:pt>
                <c:pt idx="148">
                  <c:v>Pop Smoke</c:v>
                </c:pt>
                <c:pt idx="149">
                  <c:v>Britney Spears</c:v>
                </c:pt>
                <c:pt idx="150">
                  <c:v>James Arthur</c:v>
                </c:pt>
                <c:pt idx="151">
                  <c:v>Tory Lanez</c:v>
                </c:pt>
                <c:pt idx="152">
                  <c:v>Pharrell Williams</c:v>
                </c:pt>
                <c:pt idx="153">
                  <c:v>DJ Snake</c:v>
                </c:pt>
                <c:pt idx="154">
                  <c:v>Daniel Caesar</c:v>
                </c:pt>
                <c:pt idx="155">
                  <c:v>Black Eyed Peas</c:v>
                </c:pt>
                <c:pt idx="156">
                  <c:v>Swae Lee</c:v>
                </c:pt>
                <c:pt idx="157">
                  <c:v>Shreya Ghoshal</c:v>
                </c:pt>
                <c:pt idx="158">
                  <c:v>Duki</c:v>
                </c:pt>
                <c:pt idx="159">
                  <c:v>Bizarrap</c:v>
                </c:pt>
                <c:pt idx="160">
                  <c:v>Migos</c:v>
                </c:pt>
                <c:pt idx="161">
                  <c:v>The Kid LAROI</c:v>
                </c:pt>
                <c:pt idx="162">
                  <c:v>MarÃ­lia MendonÃ§a</c:v>
                </c:pt>
                <c:pt idx="163">
                  <c:v>Anitta</c:v>
                </c:pt>
                <c:pt idx="164">
                  <c:v>Green Day</c:v>
                </c:pt>
                <c:pt idx="165">
                  <c:v>Lil Durk</c:v>
                </c:pt>
                <c:pt idx="166">
                  <c:v>Polo G</c:v>
                </c:pt>
                <c:pt idx="167">
                  <c:v>A.R. Rahman</c:v>
                </c:pt>
                <c:pt idx="168">
                  <c:v>G-Eazy</c:v>
                </c:pt>
                <c:pt idx="169">
                  <c:v>Kid Cudi</c:v>
                </c:pt>
                <c:pt idx="170">
                  <c:v>Justin Quiles</c:v>
                </c:pt>
                <c:pt idx="171">
                  <c:v>Bob Marley &amp; The Wailers</c:v>
                </c:pt>
                <c:pt idx="172">
                  <c:v>Stray Kids</c:v>
                </c:pt>
                <c:pt idx="173">
                  <c:v>Anirudh Ravichander</c:v>
                </c:pt>
                <c:pt idx="174">
                  <c:v>Ne-Yo</c:v>
                </c:pt>
                <c:pt idx="175">
                  <c:v>Gucci Mane</c:v>
                </c:pt>
                <c:pt idx="176">
                  <c:v>ROSALÃA</c:v>
                </c:pt>
                <c:pt idx="177">
                  <c:v>Charli xcx</c:v>
                </c:pt>
                <c:pt idx="178">
                  <c:v>Joji</c:v>
                </c:pt>
                <c:pt idx="179">
                  <c:v>Fall Out Boy</c:v>
                </c:pt>
                <c:pt idx="180">
                  <c:v>PARTYNEXTDOOR</c:v>
                </c:pt>
                <c:pt idx="181">
                  <c:v>Jorge &amp; Mateus</c:v>
                </c:pt>
                <c:pt idx="182">
                  <c:v>Offset</c:v>
                </c:pt>
                <c:pt idx="183">
                  <c:v>Panic! At The Disco</c:v>
                </c:pt>
                <c:pt idx="184">
                  <c:v>Tame Impala</c:v>
                </c:pt>
                <c:pt idx="185">
                  <c:v>Quevedo</c:v>
                </c:pt>
                <c:pt idx="186">
                  <c:v>Morat</c:v>
                </c:pt>
                <c:pt idx="187">
                  <c:v>Zara Larsson</c:v>
                </c:pt>
                <c:pt idx="188">
                  <c:v>Tito Double P</c:v>
                </c:pt>
                <c:pt idx="189">
                  <c:v>Jul</c:v>
                </c:pt>
                <c:pt idx="190">
                  <c:v>2Pac</c:v>
                </c:pt>
                <c:pt idx="191">
                  <c:v>Gorillaz</c:v>
                </c:pt>
                <c:pt idx="192">
                  <c:v>Lewis Capaldi</c:v>
                </c:pt>
                <c:pt idx="193">
                  <c:v>Grupo Frontera</c:v>
                </c:pt>
                <c:pt idx="194">
                  <c:v>Camilo</c:v>
                </c:pt>
                <c:pt idx="195">
                  <c:v>Lenny TavÃ¡rez</c:v>
                </c:pt>
                <c:pt idx="196">
                  <c:v>2 Chainz</c:v>
                </c:pt>
                <c:pt idx="197">
                  <c:v>NF</c:v>
                </c:pt>
                <c:pt idx="198">
                  <c:v>Bryson Tiller</c:v>
                </c:pt>
                <c:pt idx="199">
                  <c:v>Rels B</c:v>
                </c:pt>
                <c:pt idx="200">
                  <c:v>Roddy Ricch</c:v>
                </c:pt>
                <c:pt idx="201">
                  <c:v>Guns N' Roses</c:v>
                </c:pt>
                <c:pt idx="202">
                  <c:v>Mariah Carey</c:v>
                </c:pt>
                <c:pt idx="203">
                  <c:v>Noah Kahan</c:v>
                </c:pt>
                <c:pt idx="204">
                  <c:v>Megan Thee Stallion</c:v>
                </c:pt>
                <c:pt idx="205">
                  <c:v>Christian Nodal</c:v>
                </c:pt>
                <c:pt idx="206">
                  <c:v>Brent Faiyaz</c:v>
                </c:pt>
                <c:pt idx="207">
                  <c:v>Martin Garrix</c:v>
                </c:pt>
                <c:pt idx="208">
                  <c:v>Banda MS de Sergio LizÃ¡rraga</c:v>
                </c:pt>
                <c:pt idx="209">
                  <c:v>Pink Floyd</c:v>
                </c:pt>
                <c:pt idx="210">
                  <c:v>mgk</c:v>
                </c:pt>
                <c:pt idx="211">
                  <c:v>Wisin &amp; Yandel</c:v>
                </c:pt>
                <c:pt idx="212">
                  <c:v>Dr. Dre</c:v>
                </c:pt>
                <c:pt idx="213">
                  <c:v>Mora</c:v>
                </c:pt>
                <c:pt idx="214">
                  <c:v>Cigarettes After Sex</c:v>
                </c:pt>
                <c:pt idx="215">
                  <c:v>Childish Gambino</c:v>
                </c:pt>
                <c:pt idx="216">
                  <c:v>Wisin</c:v>
                </c:pt>
                <c:pt idx="217">
                  <c:v>Major Lazer</c:v>
                </c:pt>
                <c:pt idx="218">
                  <c:v>John Mayer</c:v>
                </c:pt>
                <c:pt idx="219">
                  <c:v>Miguel</c:v>
                </c:pt>
                <c:pt idx="220">
                  <c:v>Lil Nas X</c:v>
                </c:pt>
                <c:pt idx="221">
                  <c:v>System Of A Down</c:v>
                </c:pt>
                <c:pt idx="222">
                  <c:v>Logic</c:v>
                </c:pt>
                <c:pt idx="223">
                  <c:v>ABBA</c:v>
                </c:pt>
                <c:pt idx="224">
                  <c:v>Becky G</c:v>
                </c:pt>
                <c:pt idx="225">
                  <c:v>Yandel</c:v>
                </c:pt>
                <c:pt idx="226">
                  <c:v>Enrique Iglesias</c:v>
                </c:pt>
                <c:pt idx="227">
                  <c:v>Lil Yachty</c:v>
                </c:pt>
                <c:pt idx="228">
                  <c:v>Luis R Conriquez</c:v>
                </c:pt>
                <c:pt idx="229">
                  <c:v>Zion &amp; Lennox</c:v>
                </c:pt>
                <c:pt idx="230">
                  <c:v>5 Seconds of Summer</c:v>
                </c:pt>
                <c:pt idx="231">
                  <c:v>Jack Harlow</c:v>
                </c:pt>
                <c:pt idx="232">
                  <c:v>TWICE</c:v>
                </c:pt>
                <c:pt idx="233">
                  <c:v>Ã‘engo Flow</c:v>
                </c:pt>
                <c:pt idx="234">
                  <c:v>Ava Max</c:v>
                </c:pt>
                <c:pt idx="235">
                  <c:v>ZAYN</c:v>
                </c:pt>
                <c:pt idx="236">
                  <c:v>Michael BublÃ©</c:v>
                </c:pt>
                <c:pt idx="237">
                  <c:v>Macklemore</c:v>
                </c:pt>
                <c:pt idx="238">
                  <c:v>Anne-Marie</c:v>
                </c:pt>
                <c:pt idx="239">
                  <c:v>The Rolling Stones</c:v>
                </c:pt>
                <c:pt idx="240">
                  <c:v>Frank Sinatra</c:v>
                </c:pt>
                <c:pt idx="241">
                  <c:v>Robin Schulz</c:v>
                </c:pt>
                <c:pt idx="242">
                  <c:v>Bryant Myers</c:v>
                </c:pt>
                <c:pt idx="243">
                  <c:v>Gusttavo Lima</c:v>
                </c:pt>
                <c:pt idx="244">
                  <c:v>Eladio Carrion</c:v>
                </c:pt>
                <c:pt idx="245">
                  <c:v>Grupo Firme</c:v>
                </c:pt>
                <c:pt idx="246">
                  <c:v>Amitabh Bhattacharya</c:v>
                </c:pt>
                <c:pt idx="247">
                  <c:v>Alicia Keys</c:v>
                </c:pt>
                <c:pt idx="248">
                  <c:v>Kesha</c:v>
                </c:pt>
                <c:pt idx="249">
                  <c:v>LAUV</c:v>
                </c:pt>
                <c:pt idx="250">
                  <c:v>Madonna</c:v>
                </c:pt>
                <c:pt idx="251">
                  <c:v>Reik</c:v>
                </c:pt>
                <c:pt idx="252">
                  <c:v>John Legend</c:v>
                </c:pt>
                <c:pt idx="253">
                  <c:v>Meghan Trainor</c:v>
                </c:pt>
                <c:pt idx="254">
                  <c:v>Lil Tecca</c:v>
                </c:pt>
                <c:pt idx="255">
                  <c:v>Lorde</c:v>
                </c:pt>
                <c:pt idx="256">
                  <c:v>MC Ryan SP</c:v>
                </c:pt>
                <c:pt idx="257">
                  <c:v>Chris Stapleton</c:v>
                </c:pt>
                <c:pt idx="258">
                  <c:v>French Montana</c:v>
                </c:pt>
                <c:pt idx="259">
                  <c:v>Melanie Martinez</c:v>
                </c:pt>
                <c:pt idx="260">
                  <c:v>Elvis Presley</c:v>
                </c:pt>
                <c:pt idx="261">
                  <c:v>Rick Ross</c:v>
                </c:pt>
                <c:pt idx="262">
                  <c:v>Cris MJ</c:v>
                </c:pt>
                <c:pt idx="263">
                  <c:v>Zedd</c:v>
                </c:pt>
                <c:pt idx="264">
                  <c:v>Paramore</c:v>
                </c:pt>
                <c:pt idx="265">
                  <c:v>Chance the Rapper</c:v>
                </c:pt>
                <c:pt idx="266">
                  <c:v>Ninho</c:v>
                </c:pt>
                <c:pt idx="267">
                  <c:v>blackbear</c:v>
                </c:pt>
                <c:pt idx="268">
                  <c:v>Creedence Clearwater Revival</c:v>
                </c:pt>
                <c:pt idx="269">
                  <c:v>T-Pain</c:v>
                </c:pt>
                <c:pt idx="270">
                  <c:v>Jung Kook</c:v>
                </c:pt>
                <c:pt idx="271">
                  <c:v>Skrillex</c:v>
                </c:pt>
                <c:pt idx="272">
                  <c:v>DJ Khaled</c:v>
                </c:pt>
                <c:pt idx="273">
                  <c:v>Wizkid</c:v>
                </c:pt>
                <c:pt idx="274">
                  <c:v>Oasis</c:v>
                </c:pt>
                <c:pt idx="275">
                  <c:v>Christina Aguilera</c:v>
                </c:pt>
                <c:pt idx="276">
                  <c:v>Slipknot</c:v>
                </c:pt>
                <c:pt idx="277">
                  <c:v>Irshad Kamil</c:v>
                </c:pt>
                <c:pt idx="278">
                  <c:v>Little Mix</c:v>
                </c:pt>
                <c:pt idx="279">
                  <c:v>BeÃ©le</c:v>
                </c:pt>
                <c:pt idx="280">
                  <c:v>The Notorious B.I.G.</c:v>
                </c:pt>
                <c:pt idx="281">
                  <c:v>Mitski</c:v>
                </c:pt>
                <c:pt idx="282">
                  <c:v>Tainy</c:v>
                </c:pt>
                <c:pt idx="283">
                  <c:v>ZÃ© Neto &amp; Cristiano</c:v>
                </c:pt>
                <c:pt idx="284">
                  <c:v>Rammstein</c:v>
                </c:pt>
                <c:pt idx="285">
                  <c:v>Labrinth</c:v>
                </c:pt>
                <c:pt idx="286">
                  <c:v>Chencho Corleone</c:v>
                </c:pt>
                <c:pt idx="287">
                  <c:v>Darell</c:v>
                </c:pt>
                <c:pt idx="288">
                  <c:v>Bon Jovi</c:v>
                </c:pt>
                <c:pt idx="289">
                  <c:v>The Killers</c:v>
                </c:pt>
                <c:pt idx="290">
                  <c:v>blink-182</c:v>
                </c:pt>
                <c:pt idx="291">
                  <c:v>Summer Walker</c:v>
                </c:pt>
                <c:pt idx="292">
                  <c:v>JhenÃ© Aiko</c:v>
                </c:pt>
                <c:pt idx="293">
                  <c:v>Kehlani</c:v>
                </c:pt>
                <c:pt idx="294">
                  <c:v>Clean Bandit</c:v>
                </c:pt>
                <c:pt idx="295">
                  <c:v>David Bowie</c:v>
                </c:pt>
                <c:pt idx="296">
                  <c:v>U2</c:v>
                </c:pt>
                <c:pt idx="297">
                  <c:v>Aventura</c:v>
                </c:pt>
                <c:pt idx="298">
                  <c:v>Foo Fighters</c:v>
                </c:pt>
                <c:pt idx="299">
                  <c:v>The 1975</c:v>
                </c:pt>
                <c:pt idx="300">
                  <c:v>Maria Becerra</c:v>
                </c:pt>
                <c:pt idx="301">
                  <c:v>Plan B</c:v>
                </c:pt>
                <c:pt idx="302">
                  <c:v>Steve Lacy</c:v>
                </c:pt>
                <c:pt idx="303">
                  <c:v>De La Ghetto</c:v>
                </c:pt>
                <c:pt idx="304">
                  <c:v>Troye Sivan</c:v>
                </c:pt>
                <c:pt idx="305">
                  <c:v>Conan Gray</c:v>
                </c:pt>
                <c:pt idx="306">
                  <c:v>Ludacris</c:v>
                </c:pt>
                <c:pt idx="307">
                  <c:v>Burna Boy</c:v>
                </c:pt>
                <c:pt idx="308">
                  <c:v>Danny Ocean</c:v>
                </c:pt>
                <c:pt idx="309">
                  <c:v>Meek Mill</c:v>
                </c:pt>
                <c:pt idx="310">
                  <c:v>My Chemical Romance</c:v>
                </c:pt>
                <c:pt idx="311">
                  <c:v>Alessia Cara</c:v>
                </c:pt>
                <c:pt idx="312">
                  <c:v>Vishal-Shekhar</c:v>
                </c:pt>
                <c:pt idx="313">
                  <c:v>Paulo Londra</c:v>
                </c:pt>
                <c:pt idx="314">
                  <c:v>La Arrolladora Banda El Limón</c:v>
                </c:pt>
                <c:pt idx="315">
                  <c:v>Yeat</c:v>
                </c:pt>
                <c:pt idx="316">
                  <c:v>Matheus &amp; Kauan</c:v>
                </c:pt>
                <c:pt idx="317">
                  <c:v>Alok</c:v>
                </c:pt>
                <c:pt idx="318">
                  <c:v>Bring Me The Horizon</c:v>
                </c:pt>
                <c:pt idx="319">
                  <c:v>Central Cee</c:v>
                </c:pt>
                <c:pt idx="320">
                  <c:v>League of Legends</c:v>
                </c:pt>
                <c:pt idx="321">
                  <c:v>Mac DeMarco</c:v>
                </c:pt>
                <c:pt idx="322">
                  <c:v>Benson Boone</c:v>
                </c:pt>
                <c:pt idx="323">
                  <c:v>Dalex</c:v>
                </c:pt>
                <c:pt idx="324">
                  <c:v>Nickelback</c:v>
                </c:pt>
                <c:pt idx="325">
                  <c:v>Marc Anthony</c:v>
                </c:pt>
                <c:pt idx="326">
                  <c:v>ManÃ¡</c:v>
                </c:pt>
                <c:pt idx="327">
                  <c:v>Led Zeppelin</c:v>
                </c:pt>
                <c:pt idx="328">
                  <c:v>MÃ¥neskin</c:v>
                </c:pt>
                <c:pt idx="329">
                  <c:v>Florida Georgia Line</c:v>
                </c:pt>
                <c:pt idx="330">
                  <c:v>Luis Fonsi</c:v>
                </c:pt>
                <c:pt idx="331">
                  <c:v>RAYE</c:v>
                </c:pt>
                <c:pt idx="332">
                  <c:v>Neton Vega</c:v>
                </c:pt>
                <c:pt idx="333">
                  <c:v>Gracie Abrams</c:v>
                </c:pt>
                <c:pt idx="334">
                  <c:v>Timbaland</c:v>
                </c:pt>
                <c:pt idx="335">
                  <c:v>Jeremih</c:v>
                </c:pt>
                <c:pt idx="336">
                  <c:v>The Lumineers</c:v>
                </c:pt>
                <c:pt idx="337">
                  <c:v>Oscar Maydon</c:v>
                </c:pt>
                <c:pt idx="338">
                  <c:v>Anderson .Paak</c:v>
                </c:pt>
                <c:pt idx="339">
                  <c:v>Chase Atlantic</c:v>
                </c:pt>
                <c:pt idx="340">
                  <c:v>JuliÃ³n Ãlvarez y su NorteÃ±o Banda</c:v>
                </c:pt>
                <c:pt idx="341">
                  <c:v>Prince Royce</c:v>
                </c:pt>
                <c:pt idx="342">
                  <c:v>Bastille</c:v>
                </c:pt>
                <c:pt idx="343">
                  <c:v>Sfera Ebbasta</c:v>
                </c:pt>
                <c:pt idx="344">
                  <c:v>Florence + The Machine</c:v>
                </c:pt>
                <c:pt idx="345">
                  <c:v>YG</c:v>
                </c:pt>
                <c:pt idx="346">
                  <c:v>Alejandro Sanz</c:v>
                </c:pt>
                <c:pt idx="347">
                  <c:v>Lil Tjay</c:v>
                </c:pt>
                <c:pt idx="348">
                  <c:v>GIVÄ’ON</c:v>
                </c:pt>
                <c:pt idx="349">
                  <c:v>Billy Joel</c:v>
                </c:pt>
                <c:pt idx="350">
                  <c:v>Luke Bryan</c:v>
                </c:pt>
                <c:pt idx="351">
                  <c:v>Muse</c:v>
                </c:pt>
                <c:pt idx="352">
                  <c:v>Jonas Blue</c:v>
                </c:pt>
                <c:pt idx="353">
                  <c:v>Teddy Swims</c:v>
                </c:pt>
                <c:pt idx="354">
                  <c:v>Juanes</c:v>
                </c:pt>
                <c:pt idx="355">
                  <c:v>Jennifer Lopez</c:v>
                </c:pt>
                <c:pt idx="356">
                  <c:v>Cartel De Santa</c:v>
                </c:pt>
                <c:pt idx="357">
                  <c:v>T.I.</c:v>
                </c:pt>
                <c:pt idx="358">
                  <c:v>Gabito Ballesteros</c:v>
                </c:pt>
                <c:pt idx="359">
                  <c:v>El Alfa</c:v>
                </c:pt>
                <c:pt idx="360">
                  <c:v>Alka Yagnik</c:v>
                </c:pt>
                <c:pt idx="361">
                  <c:v>Blessd</c:v>
                </c:pt>
                <c:pt idx="362">
                  <c:v>NATTI NATASHA</c:v>
                </c:pt>
                <c:pt idx="363">
                  <c:v>Bruce Springsteen</c:v>
                </c:pt>
                <c:pt idx="364">
                  <c:v>Alfredo Olivas</c:v>
                </c:pt>
                <c:pt idx="365">
                  <c:v>Jonas Brothers</c:v>
                </c:pt>
                <c:pt idx="366">
                  <c:v>Hans Zimmer</c:v>
                </c:pt>
                <c:pt idx="367">
                  <c:v>Julia Michaels</c:v>
                </c:pt>
                <c:pt idx="368">
                  <c:v>Deftones</c:v>
                </c:pt>
                <c:pt idx="369">
                  <c:v>Clairo</c:v>
                </c:pt>
                <c:pt idx="370">
                  <c:v>Whitney Houston</c:v>
                </c:pt>
                <c:pt idx="371">
                  <c:v>Tove Lo</c:v>
                </c:pt>
                <c:pt idx="372">
                  <c:v>DJ Luian</c:v>
                </c:pt>
                <c:pt idx="373">
                  <c:v>Amy Winehouse</c:v>
                </c:pt>
                <c:pt idx="374">
                  <c:v>TV Girl</c:v>
                </c:pt>
                <c:pt idx="375">
                  <c:v>Tanishk Bagchi</c:v>
                </c:pt>
                <c:pt idx="376">
                  <c:v>Dave</c:v>
                </c:pt>
                <c:pt idx="377">
                  <c:v>Avril Lavigne</c:v>
                </c:pt>
                <c:pt idx="378">
                  <c:v>Lost Frequencies</c:v>
                </c:pt>
                <c:pt idx="379">
                  <c:v>Kings of Leon</c:v>
                </c:pt>
                <c:pt idx="380">
                  <c:v>Joan Sebastian</c:v>
                </c:pt>
                <c:pt idx="381">
                  <c:v>Alejandro FernÃ¡ndez</c:v>
                </c:pt>
                <c:pt idx="382">
                  <c:v>Glass Animals</c:v>
                </c:pt>
                <c:pt idx="383">
                  <c:v>Sachin-Jigar</c:v>
                </c:pt>
                <c:pt idx="384">
                  <c:v>Fetty Wap</c:v>
                </c:pt>
                <c:pt idx="385">
                  <c:v>NAV</c:v>
                </c:pt>
                <c:pt idx="386">
                  <c:v>Jack Johnson</c:v>
                </c:pt>
                <c:pt idx="387">
                  <c:v>SEVENTEEN</c:v>
                </c:pt>
                <c:pt idx="388">
                  <c:v>The Script</c:v>
                </c:pt>
                <c:pt idx="389">
                  <c:v>TINI</c:v>
                </c:pt>
                <c:pt idx="390">
                  <c:v>Backstreet Boys</c:v>
                </c:pt>
                <c:pt idx="391">
                  <c:v>Jimin</c:v>
                </c:pt>
                <c:pt idx="392">
                  <c:v>Mambo Kingz</c:v>
                </c:pt>
                <c:pt idx="393">
                  <c:v>NLE Choppa</c:v>
                </c:pt>
                <c:pt idx="394">
                  <c:v>GIMS</c:v>
                </c:pt>
                <c:pt idx="395">
                  <c:v>Calibre 50</c:v>
                </c:pt>
                <c:pt idx="396">
                  <c:v>Chappell Roan</c:v>
                </c:pt>
                <c:pt idx="397">
                  <c:v>Stevie Wonder</c:v>
                </c:pt>
                <c:pt idx="398">
                  <c:v>Juicy J</c:v>
                </c:pt>
                <c:pt idx="399">
                  <c:v>Mark Ronson</c:v>
                </c:pt>
                <c:pt idx="400">
                  <c:v>Kelly Clarkson</c:v>
                </c:pt>
                <c:pt idx="401">
                  <c:v>The Offspring</c:v>
                </c:pt>
                <c:pt idx="402">
                  <c:v>Bonez MC</c:v>
                </c:pt>
                <c:pt idx="403">
                  <c:v>Bibi Blocksberg</c:v>
                </c:pt>
                <c:pt idx="404">
                  <c:v>Milo j</c:v>
                </c:pt>
                <c:pt idx="405">
                  <c:v>Jay Wheeler</c:v>
                </c:pt>
                <c:pt idx="406">
                  <c:v>felix jaehn</c:v>
                </c:pt>
                <c:pt idx="407">
                  <c:v>Niall Horan</c:v>
                </c:pt>
                <c:pt idx="408">
                  <c:v>6ix9ine</c:v>
                </c:pt>
                <c:pt idx="409">
                  <c:v>Nate Dogg</c:v>
                </c:pt>
                <c:pt idx="410">
                  <c:v>Noriel</c:v>
                </c:pt>
                <c:pt idx="411">
                  <c:v>Vicente FernÃ¡ndez</c:v>
                </c:pt>
                <c:pt idx="412">
                  <c:v>Three Days Grace</c:v>
                </c:pt>
                <c:pt idx="413">
                  <c:v>Aerosmith</c:v>
                </c:pt>
                <c:pt idx="414">
                  <c:v>Bee Gees</c:v>
                </c:pt>
                <c:pt idx="415">
                  <c:v>Udit Narayan</c:v>
                </c:pt>
                <c:pt idx="416">
                  <c:v>Piso 21</c:v>
                </c:pt>
                <c:pt idx="417">
                  <c:v>Rod Wave</c:v>
                </c:pt>
                <c:pt idx="418">
                  <c:v>Vance Joy</c:v>
                </c:pt>
                <c:pt idx="419">
                  <c:v>Bon Iver</c:v>
                </c:pt>
                <c:pt idx="420">
                  <c:v>Eslabon Armado</c:v>
                </c:pt>
                <c:pt idx="421">
                  <c:v>JENNIE</c:v>
                </c:pt>
                <c:pt idx="422">
                  <c:v>Russ</c:v>
                </c:pt>
                <c:pt idx="423">
                  <c:v>Rae Sremmurd</c:v>
                </c:pt>
                <c:pt idx="424">
                  <c:v>Jess Glynne</c:v>
                </c:pt>
                <c:pt idx="425">
                  <c:v>The Smiths</c:v>
                </c:pt>
                <c:pt idx="426">
                  <c:v>Eagles</c:v>
                </c:pt>
                <c:pt idx="427">
                  <c:v>The Police</c:v>
                </c:pt>
                <c:pt idx="428">
                  <c:v>Phil Collins</c:v>
                </c:pt>
                <c:pt idx="429">
                  <c:v>The Strokes</c:v>
                </c:pt>
                <c:pt idx="430">
                  <c:v>Atif Aslam</c:v>
                </c:pt>
                <c:pt idx="431">
                  <c:v>Ovy On The Drums</c:v>
                </c:pt>
                <c:pt idx="432">
                  <c:v>Olivia Dean</c:v>
                </c:pt>
                <c:pt idx="433">
                  <c:v>Dire Straits</c:v>
                </c:pt>
                <c:pt idx="434">
                  <c:v>NewJeans</c:v>
                </c:pt>
                <c:pt idx="435">
                  <c:v>Avenged Sevenfold</c:v>
                </c:pt>
                <c:pt idx="436">
                  <c:v>Ricardo Arjona</c:v>
                </c:pt>
                <c:pt idx="437">
                  <c:v>Los Ãngeles Azules</c:v>
                </c:pt>
                <c:pt idx="438">
                  <c:v>Rex Orange County</c:v>
                </c:pt>
                <c:pt idx="439">
                  <c:v>ScHoolboy Q</c:v>
                </c:pt>
                <c:pt idx="440">
                  <c:v>6LACK</c:v>
                </c:pt>
                <c:pt idx="441">
                  <c:v>Disclosure</c:v>
                </c:pt>
                <c:pt idx="442">
                  <c:v>Brytiago</c:v>
                </c:pt>
                <c:pt idx="443">
                  <c:v>Alesso</c:v>
                </c:pt>
                <c:pt idx="444">
                  <c:v>RAF Camora</c:v>
                </c:pt>
                <c:pt idx="445">
                  <c:v>Nelly</c:v>
                </c:pt>
                <c:pt idx="446">
                  <c:v>Mumford &amp; Sons</c:v>
                </c:pt>
                <c:pt idx="447">
                  <c:v>Kumaar</c:v>
                </c:pt>
                <c:pt idx="448">
                  <c:v>Pearl Jam</c:v>
                </c:pt>
                <c:pt idx="449">
                  <c:v>Zion</c:v>
                </c:pt>
                <c:pt idx="450">
                  <c:v>Ryan Castro</c:v>
                </c:pt>
                <c:pt idx="451">
                  <c:v>Nelly Furtado</c:v>
                </c:pt>
                <c:pt idx="452">
                  <c:v>Wesley SafadÃ£o</c:v>
                </c:pt>
                <c:pt idx="453">
                  <c:v>Disturbed</c:v>
                </c:pt>
                <c:pt idx="454">
                  <c:v>H.E.R.</c:v>
                </c:pt>
                <c:pt idx="455">
                  <c:v>Rita Ora</c:v>
                </c:pt>
                <c:pt idx="456">
                  <c:v>Kevin Gates</c:v>
                </c:pt>
                <c:pt idx="457">
                  <c:v>beabadoobee</c:v>
                </c:pt>
                <c:pt idx="458">
                  <c:v>Karan Aujla</c:v>
                </c:pt>
                <c:pt idx="459">
                  <c:v>CÃ©line Dion</c:v>
                </c:pt>
                <c:pt idx="460">
                  <c:v>Bryan Adams</c:v>
                </c:pt>
                <c:pt idx="461">
                  <c:v>ENHYPEN</c:v>
                </c:pt>
                <c:pt idx="462">
                  <c:v>Dominic Fike</c:v>
                </c:pt>
                <c:pt idx="463">
                  <c:v>Ana Castela</c:v>
                </c:pt>
                <c:pt idx="464">
                  <c:v>LANY</c:v>
                </c:pt>
                <c:pt idx="465">
                  <c:v>Johnny Cash</c:v>
                </c:pt>
                <c:pt idx="466">
                  <c:v>B.o.B</c:v>
                </c:pt>
                <c:pt idx="467">
                  <c:v>Jason Aldean</c:v>
                </c:pt>
                <c:pt idx="468">
                  <c:v>Luan Santana</c:v>
                </c:pt>
                <c:pt idx="469">
                  <c:v>KHEA</c:v>
                </c:pt>
                <c:pt idx="470">
                  <c:v>Maiara &amp; Maraisa</c:v>
                </c:pt>
                <c:pt idx="471">
                  <c:v>Mc IG</c:v>
                </c:pt>
                <c:pt idx="472">
                  <c:v>Tiago PZK</c:v>
                </c:pt>
                <c:pt idx="473">
                  <c:v>Tom Odell</c:v>
                </c:pt>
                <c:pt idx="474">
                  <c:v>Macklemore &amp; Ryan Lewis</c:v>
                </c:pt>
                <c:pt idx="475">
                  <c:v>Thomas Rhett</c:v>
                </c:pt>
                <c:pt idx="476">
                  <c:v>MÃ˜</c:v>
                </c:pt>
                <c:pt idx="477">
                  <c:v>Five Finger Death Punch</c:v>
                </c:pt>
                <c:pt idx="478">
                  <c:v>Kane Brown</c:v>
                </c:pt>
                <c:pt idx="479">
                  <c:v>Laufey</c:v>
                </c:pt>
                <c:pt idx="480">
                  <c:v>Grupo Menos Ã‰ Mais</c:v>
                </c:pt>
                <c:pt idx="481">
                  <c:v>Nicki Nicole</c:v>
                </c:pt>
                <c:pt idx="482">
                  <c:v>Moneybagg Yo</c:v>
                </c:pt>
                <c:pt idx="483">
                  <c:v>Magenta</c:v>
                </c:pt>
                <c:pt idx="484">
                  <c:v>Ryan Lewis</c:v>
                </c:pt>
                <c:pt idx="485">
                  <c:v>Morad</c:v>
                </c:pt>
                <c:pt idx="486">
                  <c:v>Calum Scott</c:v>
                </c:pt>
                <c:pt idx="487">
                  <c:v>TOMORROW X TOGETHER</c:v>
                </c:pt>
                <c:pt idx="488">
                  <c:v>Grupo Marca Registrada</c:v>
                </c:pt>
                <c:pt idx="489">
                  <c:v>benny blanco</c:v>
                </c:pt>
                <c:pt idx="490">
                  <c:v>JID</c:v>
                </c:pt>
                <c:pt idx="491">
                  <c:v>YNW Melly</c:v>
                </c:pt>
                <c:pt idx="492">
                  <c:v>Juan Gabriel</c:v>
                </c:pt>
                <c:pt idx="493">
                  <c:v>Los Temerarios</c:v>
                </c:pt>
                <c:pt idx="494">
                  <c:v>Jason Mraz</c:v>
                </c:pt>
                <c:pt idx="495">
                  <c:v>The Cure</c:v>
                </c:pt>
                <c:pt idx="496">
                  <c:v>The MarÃ­as</c:v>
                </c:pt>
                <c:pt idx="497">
                  <c:v>Limp Bizkit</c:v>
                </c:pt>
                <c:pt idx="498">
                  <c:v>Korn</c:v>
                </c:pt>
                <c:pt idx="499">
                  <c:v>Omar Courtz</c:v>
                </c:pt>
              </c:strCache>
            </c:strRef>
          </c:cat>
          <c:val>
            <c:numRef>
              <c:f>'Language based analysis'!$B$17:$B$517</c:f>
              <c:numCache>
                <c:formatCode>General</c:formatCode>
                <c:ptCount val="500"/>
                <c:pt idx="0">
                  <c:v>137492.1</c:v>
                </c:pt>
                <c:pt idx="1">
                  <c:v>127861</c:v>
                </c:pt>
                <c:pt idx="2">
                  <c:v>125899.8</c:v>
                </c:pt>
                <c:pt idx="3">
                  <c:v>95703.2</c:v>
                </c:pt>
                <c:pt idx="4">
                  <c:v>78104.399999999994</c:v>
                </c:pt>
                <c:pt idx="5">
                  <c:v>68298.899999999994</c:v>
                </c:pt>
                <c:pt idx="6">
                  <c:v>65349.7</c:v>
                </c:pt>
                <c:pt idx="7">
                  <c:v>65142.9</c:v>
                </c:pt>
                <c:pt idx="8">
                  <c:v>64656.9</c:v>
                </c:pt>
                <c:pt idx="9">
                  <c:v>64549</c:v>
                </c:pt>
                <c:pt idx="10">
                  <c:v>60670.7</c:v>
                </c:pt>
                <c:pt idx="11">
                  <c:v>58049.5</c:v>
                </c:pt>
                <c:pt idx="12">
                  <c:v>56727.1</c:v>
                </c:pt>
                <c:pt idx="13">
                  <c:v>56459.5</c:v>
                </c:pt>
                <c:pt idx="14">
                  <c:v>55028.3</c:v>
                </c:pt>
                <c:pt idx="15">
                  <c:v>54649.2</c:v>
                </c:pt>
                <c:pt idx="16">
                  <c:v>53951.5</c:v>
                </c:pt>
                <c:pt idx="17">
                  <c:v>53308.9</c:v>
                </c:pt>
                <c:pt idx="18">
                  <c:v>47649.2</c:v>
                </c:pt>
                <c:pt idx="19">
                  <c:v>46720.4</c:v>
                </c:pt>
                <c:pt idx="20">
                  <c:v>46276.4</c:v>
                </c:pt>
                <c:pt idx="21">
                  <c:v>43963.8</c:v>
                </c:pt>
                <c:pt idx="22">
                  <c:v>43330.3</c:v>
                </c:pt>
                <c:pt idx="23">
                  <c:v>42464.1</c:v>
                </c:pt>
                <c:pt idx="24">
                  <c:v>42059.5</c:v>
                </c:pt>
                <c:pt idx="25">
                  <c:v>41944.1</c:v>
                </c:pt>
                <c:pt idx="26">
                  <c:v>41405.4</c:v>
                </c:pt>
                <c:pt idx="27">
                  <c:v>40738.6</c:v>
                </c:pt>
                <c:pt idx="28">
                  <c:v>40453.300000000003</c:v>
                </c:pt>
                <c:pt idx="29">
                  <c:v>40411.300000000003</c:v>
                </c:pt>
                <c:pt idx="30">
                  <c:v>40279.5</c:v>
                </c:pt>
                <c:pt idx="31">
                  <c:v>40148.199999999997</c:v>
                </c:pt>
                <c:pt idx="32">
                  <c:v>39024.300000000003</c:v>
                </c:pt>
                <c:pt idx="33">
                  <c:v>38879.599999999999</c:v>
                </c:pt>
                <c:pt idx="34">
                  <c:v>37687.800000000003</c:v>
                </c:pt>
                <c:pt idx="35">
                  <c:v>37565.4</c:v>
                </c:pt>
                <c:pt idx="36">
                  <c:v>37549.699999999997</c:v>
                </c:pt>
                <c:pt idx="37">
                  <c:v>35931.9</c:v>
                </c:pt>
                <c:pt idx="38">
                  <c:v>35794.1</c:v>
                </c:pt>
                <c:pt idx="39">
                  <c:v>35727.199999999997</c:v>
                </c:pt>
                <c:pt idx="40">
                  <c:v>34975.199999999997</c:v>
                </c:pt>
                <c:pt idx="41">
                  <c:v>34841</c:v>
                </c:pt>
                <c:pt idx="42">
                  <c:v>34579.1</c:v>
                </c:pt>
                <c:pt idx="43">
                  <c:v>34129.699999999997</c:v>
                </c:pt>
                <c:pt idx="44">
                  <c:v>33620.699999999997</c:v>
                </c:pt>
                <c:pt idx="45">
                  <c:v>33224.699999999997</c:v>
                </c:pt>
                <c:pt idx="46">
                  <c:v>33179.800000000003</c:v>
                </c:pt>
                <c:pt idx="47">
                  <c:v>32200.9</c:v>
                </c:pt>
                <c:pt idx="48">
                  <c:v>32115.9</c:v>
                </c:pt>
                <c:pt idx="49">
                  <c:v>31642.1</c:v>
                </c:pt>
                <c:pt idx="50">
                  <c:v>31214.3</c:v>
                </c:pt>
                <c:pt idx="51">
                  <c:v>31212.400000000001</c:v>
                </c:pt>
                <c:pt idx="52">
                  <c:v>31171.1</c:v>
                </c:pt>
                <c:pt idx="53">
                  <c:v>30933.8</c:v>
                </c:pt>
                <c:pt idx="54">
                  <c:v>29775.3</c:v>
                </c:pt>
                <c:pt idx="55">
                  <c:v>29471.1</c:v>
                </c:pt>
                <c:pt idx="56">
                  <c:v>29449</c:v>
                </c:pt>
                <c:pt idx="57">
                  <c:v>29370</c:v>
                </c:pt>
                <c:pt idx="58">
                  <c:v>29197.200000000001</c:v>
                </c:pt>
                <c:pt idx="59">
                  <c:v>28889.5</c:v>
                </c:pt>
                <c:pt idx="60">
                  <c:v>28848.7</c:v>
                </c:pt>
                <c:pt idx="61">
                  <c:v>28799.7</c:v>
                </c:pt>
                <c:pt idx="62">
                  <c:v>28690.5</c:v>
                </c:pt>
                <c:pt idx="63">
                  <c:v>28543.9</c:v>
                </c:pt>
                <c:pt idx="64">
                  <c:v>28248</c:v>
                </c:pt>
                <c:pt idx="65">
                  <c:v>28195.8</c:v>
                </c:pt>
                <c:pt idx="66">
                  <c:v>28155.4</c:v>
                </c:pt>
                <c:pt idx="67">
                  <c:v>27466.799999999999</c:v>
                </c:pt>
                <c:pt idx="68">
                  <c:v>27406.799999999999</c:v>
                </c:pt>
                <c:pt idx="69">
                  <c:v>27125.8</c:v>
                </c:pt>
                <c:pt idx="70">
                  <c:v>26895.1</c:v>
                </c:pt>
                <c:pt idx="71">
                  <c:v>26465.200000000001</c:v>
                </c:pt>
                <c:pt idx="72">
                  <c:v>26130.5</c:v>
                </c:pt>
                <c:pt idx="73">
                  <c:v>25875.8</c:v>
                </c:pt>
                <c:pt idx="74">
                  <c:v>25875.4</c:v>
                </c:pt>
                <c:pt idx="75">
                  <c:v>25818.400000000001</c:v>
                </c:pt>
                <c:pt idx="76">
                  <c:v>25687.5</c:v>
                </c:pt>
                <c:pt idx="77">
                  <c:v>25289.9</c:v>
                </c:pt>
                <c:pt idx="78">
                  <c:v>25264.400000000001</c:v>
                </c:pt>
                <c:pt idx="79">
                  <c:v>24888.6</c:v>
                </c:pt>
                <c:pt idx="80">
                  <c:v>24807.4</c:v>
                </c:pt>
                <c:pt idx="81">
                  <c:v>24607</c:v>
                </c:pt>
                <c:pt idx="82">
                  <c:v>24440.1</c:v>
                </c:pt>
                <c:pt idx="83">
                  <c:v>24217.200000000001</c:v>
                </c:pt>
                <c:pt idx="84">
                  <c:v>23907.599999999999</c:v>
                </c:pt>
                <c:pt idx="85">
                  <c:v>23845.1</c:v>
                </c:pt>
                <c:pt idx="86">
                  <c:v>23705.9</c:v>
                </c:pt>
                <c:pt idx="87">
                  <c:v>22494.9</c:v>
                </c:pt>
                <c:pt idx="88">
                  <c:v>22475.8</c:v>
                </c:pt>
                <c:pt idx="89">
                  <c:v>22236.1</c:v>
                </c:pt>
                <c:pt idx="90">
                  <c:v>21937.3</c:v>
                </c:pt>
                <c:pt idx="91">
                  <c:v>21873.8</c:v>
                </c:pt>
                <c:pt idx="92">
                  <c:v>21546.2</c:v>
                </c:pt>
                <c:pt idx="93">
                  <c:v>21202.3</c:v>
                </c:pt>
                <c:pt idx="94">
                  <c:v>21182.2</c:v>
                </c:pt>
                <c:pt idx="95">
                  <c:v>21003.5</c:v>
                </c:pt>
                <c:pt idx="96">
                  <c:v>20670.8</c:v>
                </c:pt>
                <c:pt idx="97">
                  <c:v>20644.8</c:v>
                </c:pt>
                <c:pt idx="98">
                  <c:v>20549.2</c:v>
                </c:pt>
                <c:pt idx="99">
                  <c:v>20444.599999999999</c:v>
                </c:pt>
                <c:pt idx="100">
                  <c:v>20300.7</c:v>
                </c:pt>
                <c:pt idx="101">
                  <c:v>20138.099999999999</c:v>
                </c:pt>
                <c:pt idx="102">
                  <c:v>20091.099999999999</c:v>
                </c:pt>
                <c:pt idx="103">
                  <c:v>19977.5</c:v>
                </c:pt>
                <c:pt idx="104">
                  <c:v>19830.5</c:v>
                </c:pt>
                <c:pt idx="105">
                  <c:v>19727.2</c:v>
                </c:pt>
                <c:pt idx="106">
                  <c:v>19707.8</c:v>
                </c:pt>
                <c:pt idx="107">
                  <c:v>19528.3</c:v>
                </c:pt>
                <c:pt idx="108">
                  <c:v>19440.5</c:v>
                </c:pt>
                <c:pt idx="109">
                  <c:v>19383.5</c:v>
                </c:pt>
                <c:pt idx="110">
                  <c:v>19231.7</c:v>
                </c:pt>
                <c:pt idx="111">
                  <c:v>19101.599999999999</c:v>
                </c:pt>
                <c:pt idx="112">
                  <c:v>19090.400000000001</c:v>
                </c:pt>
                <c:pt idx="113">
                  <c:v>18912.7</c:v>
                </c:pt>
                <c:pt idx="114">
                  <c:v>18889.599999999999</c:v>
                </c:pt>
                <c:pt idx="115">
                  <c:v>18707.3</c:v>
                </c:pt>
                <c:pt idx="116">
                  <c:v>18649.5</c:v>
                </c:pt>
                <c:pt idx="117">
                  <c:v>18627</c:v>
                </c:pt>
                <c:pt idx="118">
                  <c:v>18580.599999999999</c:v>
                </c:pt>
                <c:pt idx="119">
                  <c:v>18413.2</c:v>
                </c:pt>
                <c:pt idx="120">
                  <c:v>18309.3</c:v>
                </c:pt>
                <c:pt idx="121">
                  <c:v>18270.8</c:v>
                </c:pt>
                <c:pt idx="122">
                  <c:v>18217.099999999999</c:v>
                </c:pt>
                <c:pt idx="123">
                  <c:v>18203.3</c:v>
                </c:pt>
                <c:pt idx="124">
                  <c:v>18064.3</c:v>
                </c:pt>
                <c:pt idx="125">
                  <c:v>18005.3</c:v>
                </c:pt>
                <c:pt idx="126">
                  <c:v>17738.8</c:v>
                </c:pt>
                <c:pt idx="127">
                  <c:v>17720.2</c:v>
                </c:pt>
                <c:pt idx="128">
                  <c:v>17517.400000000001</c:v>
                </c:pt>
                <c:pt idx="129">
                  <c:v>17516.099999999999</c:v>
                </c:pt>
                <c:pt idx="130">
                  <c:v>17440.2</c:v>
                </c:pt>
                <c:pt idx="131">
                  <c:v>17316.599999999999</c:v>
                </c:pt>
                <c:pt idx="132">
                  <c:v>17314.099999999999</c:v>
                </c:pt>
                <c:pt idx="133">
                  <c:v>17119.5</c:v>
                </c:pt>
                <c:pt idx="134">
                  <c:v>17056</c:v>
                </c:pt>
                <c:pt idx="135">
                  <c:v>17010.5</c:v>
                </c:pt>
                <c:pt idx="136">
                  <c:v>16984.3</c:v>
                </c:pt>
                <c:pt idx="137">
                  <c:v>16969.400000000001</c:v>
                </c:pt>
                <c:pt idx="138">
                  <c:v>16893.400000000001</c:v>
                </c:pt>
                <c:pt idx="139">
                  <c:v>16877.3</c:v>
                </c:pt>
                <c:pt idx="140">
                  <c:v>16577.5</c:v>
                </c:pt>
                <c:pt idx="141">
                  <c:v>16556.5</c:v>
                </c:pt>
                <c:pt idx="142">
                  <c:v>16553.3</c:v>
                </c:pt>
                <c:pt idx="143">
                  <c:v>16454.900000000001</c:v>
                </c:pt>
                <c:pt idx="144">
                  <c:v>16428.900000000001</c:v>
                </c:pt>
                <c:pt idx="145">
                  <c:v>16366.1</c:v>
                </c:pt>
                <c:pt idx="146">
                  <c:v>16271.6</c:v>
                </c:pt>
                <c:pt idx="147">
                  <c:v>16228.7</c:v>
                </c:pt>
                <c:pt idx="148">
                  <c:v>16217.4</c:v>
                </c:pt>
                <c:pt idx="149">
                  <c:v>16148.3</c:v>
                </c:pt>
                <c:pt idx="150">
                  <c:v>16111.6</c:v>
                </c:pt>
                <c:pt idx="151">
                  <c:v>16021.1</c:v>
                </c:pt>
                <c:pt idx="152">
                  <c:v>15952.2</c:v>
                </c:pt>
                <c:pt idx="153">
                  <c:v>15921.1</c:v>
                </c:pt>
                <c:pt idx="154">
                  <c:v>15876.2</c:v>
                </c:pt>
                <c:pt idx="155">
                  <c:v>15775.7</c:v>
                </c:pt>
                <c:pt idx="156">
                  <c:v>15746</c:v>
                </c:pt>
                <c:pt idx="157">
                  <c:v>15723</c:v>
                </c:pt>
                <c:pt idx="158">
                  <c:v>15684.7</c:v>
                </c:pt>
                <c:pt idx="159">
                  <c:v>15638.8</c:v>
                </c:pt>
                <c:pt idx="160">
                  <c:v>15562.1</c:v>
                </c:pt>
                <c:pt idx="161">
                  <c:v>15561.7</c:v>
                </c:pt>
                <c:pt idx="162">
                  <c:v>15528.2</c:v>
                </c:pt>
                <c:pt idx="163">
                  <c:v>15525.6</c:v>
                </c:pt>
                <c:pt idx="164">
                  <c:v>15453.3</c:v>
                </c:pt>
                <c:pt idx="165">
                  <c:v>15329.4</c:v>
                </c:pt>
                <c:pt idx="166">
                  <c:v>15252.2</c:v>
                </c:pt>
                <c:pt idx="167">
                  <c:v>15240.4</c:v>
                </c:pt>
                <c:pt idx="168">
                  <c:v>15133</c:v>
                </c:pt>
                <c:pt idx="169">
                  <c:v>15086.8</c:v>
                </c:pt>
                <c:pt idx="170">
                  <c:v>15041.1</c:v>
                </c:pt>
                <c:pt idx="171">
                  <c:v>14992.7</c:v>
                </c:pt>
                <c:pt idx="172">
                  <c:v>14947.4</c:v>
                </c:pt>
                <c:pt idx="173">
                  <c:v>14897.8</c:v>
                </c:pt>
                <c:pt idx="174">
                  <c:v>14888.6</c:v>
                </c:pt>
                <c:pt idx="175">
                  <c:v>14880.2</c:v>
                </c:pt>
                <c:pt idx="176">
                  <c:v>14558.4</c:v>
                </c:pt>
                <c:pt idx="177">
                  <c:v>14544.4</c:v>
                </c:pt>
                <c:pt idx="178">
                  <c:v>14512.1</c:v>
                </c:pt>
                <c:pt idx="179">
                  <c:v>14507.7</c:v>
                </c:pt>
                <c:pt idx="180">
                  <c:v>14506.3</c:v>
                </c:pt>
                <c:pt idx="181">
                  <c:v>14404.4</c:v>
                </c:pt>
                <c:pt idx="182">
                  <c:v>14402.6</c:v>
                </c:pt>
                <c:pt idx="183">
                  <c:v>14402.3</c:v>
                </c:pt>
                <c:pt idx="184">
                  <c:v>14387.1</c:v>
                </c:pt>
                <c:pt idx="185">
                  <c:v>14345.2</c:v>
                </c:pt>
                <c:pt idx="186">
                  <c:v>14293.7</c:v>
                </c:pt>
                <c:pt idx="187">
                  <c:v>14221.3</c:v>
                </c:pt>
                <c:pt idx="188">
                  <c:v>14166.6</c:v>
                </c:pt>
                <c:pt idx="189">
                  <c:v>14127.8</c:v>
                </c:pt>
                <c:pt idx="190">
                  <c:v>14116.7</c:v>
                </c:pt>
                <c:pt idx="191">
                  <c:v>14104.4</c:v>
                </c:pt>
                <c:pt idx="192">
                  <c:v>14087.8</c:v>
                </c:pt>
                <c:pt idx="193">
                  <c:v>13999.3</c:v>
                </c:pt>
                <c:pt idx="194">
                  <c:v>13994.1</c:v>
                </c:pt>
                <c:pt idx="195">
                  <c:v>13994</c:v>
                </c:pt>
                <c:pt idx="196">
                  <c:v>13978.6</c:v>
                </c:pt>
                <c:pt idx="197">
                  <c:v>13891.9</c:v>
                </c:pt>
                <c:pt idx="198">
                  <c:v>13890.6</c:v>
                </c:pt>
                <c:pt idx="199">
                  <c:v>13734.1</c:v>
                </c:pt>
                <c:pt idx="200">
                  <c:v>13692</c:v>
                </c:pt>
                <c:pt idx="201">
                  <c:v>13683</c:v>
                </c:pt>
                <c:pt idx="202">
                  <c:v>13650.2</c:v>
                </c:pt>
                <c:pt idx="203">
                  <c:v>13543.1</c:v>
                </c:pt>
                <c:pt idx="204">
                  <c:v>13532</c:v>
                </c:pt>
                <c:pt idx="205">
                  <c:v>13503.4</c:v>
                </c:pt>
                <c:pt idx="206">
                  <c:v>13490.4</c:v>
                </c:pt>
                <c:pt idx="207">
                  <c:v>13468.7</c:v>
                </c:pt>
                <c:pt idx="208">
                  <c:v>13433.6</c:v>
                </c:pt>
                <c:pt idx="209">
                  <c:v>13404.2</c:v>
                </c:pt>
                <c:pt idx="210">
                  <c:v>13398.3</c:v>
                </c:pt>
                <c:pt idx="211">
                  <c:v>13323.2</c:v>
                </c:pt>
                <c:pt idx="212">
                  <c:v>13320.3</c:v>
                </c:pt>
                <c:pt idx="213">
                  <c:v>13291</c:v>
                </c:pt>
                <c:pt idx="214">
                  <c:v>13287</c:v>
                </c:pt>
                <c:pt idx="215">
                  <c:v>13281.8</c:v>
                </c:pt>
                <c:pt idx="216">
                  <c:v>13273.4</c:v>
                </c:pt>
                <c:pt idx="217">
                  <c:v>13220.4</c:v>
                </c:pt>
                <c:pt idx="218">
                  <c:v>13208.3</c:v>
                </c:pt>
                <c:pt idx="219">
                  <c:v>13065.7</c:v>
                </c:pt>
                <c:pt idx="220">
                  <c:v>13039.8</c:v>
                </c:pt>
                <c:pt idx="221">
                  <c:v>13009.4</c:v>
                </c:pt>
                <c:pt idx="222">
                  <c:v>12994.4</c:v>
                </c:pt>
                <c:pt idx="223">
                  <c:v>12992.2</c:v>
                </c:pt>
                <c:pt idx="224">
                  <c:v>12985.2</c:v>
                </c:pt>
                <c:pt idx="225">
                  <c:v>12929.7</c:v>
                </c:pt>
                <c:pt idx="226">
                  <c:v>12857.9</c:v>
                </c:pt>
                <c:pt idx="227">
                  <c:v>12823.8</c:v>
                </c:pt>
                <c:pt idx="228">
                  <c:v>12810.9</c:v>
                </c:pt>
                <c:pt idx="229">
                  <c:v>12799.8</c:v>
                </c:pt>
                <c:pt idx="230">
                  <c:v>12788.3</c:v>
                </c:pt>
                <c:pt idx="231">
                  <c:v>12751</c:v>
                </c:pt>
                <c:pt idx="232">
                  <c:v>12716.2</c:v>
                </c:pt>
                <c:pt idx="233">
                  <c:v>12713.2</c:v>
                </c:pt>
                <c:pt idx="234">
                  <c:v>12700.7</c:v>
                </c:pt>
                <c:pt idx="235">
                  <c:v>12650.8</c:v>
                </c:pt>
                <c:pt idx="236">
                  <c:v>12647.5</c:v>
                </c:pt>
                <c:pt idx="237">
                  <c:v>12593.2</c:v>
                </c:pt>
                <c:pt idx="238">
                  <c:v>12593</c:v>
                </c:pt>
                <c:pt idx="239">
                  <c:v>12566.2</c:v>
                </c:pt>
                <c:pt idx="240">
                  <c:v>12421.7</c:v>
                </c:pt>
                <c:pt idx="241">
                  <c:v>12403.3</c:v>
                </c:pt>
                <c:pt idx="242">
                  <c:v>12394.6</c:v>
                </c:pt>
                <c:pt idx="243">
                  <c:v>12324.9</c:v>
                </c:pt>
                <c:pt idx="244">
                  <c:v>12209.5</c:v>
                </c:pt>
                <c:pt idx="245">
                  <c:v>12151.3</c:v>
                </c:pt>
                <c:pt idx="246">
                  <c:v>12136.7</c:v>
                </c:pt>
                <c:pt idx="247">
                  <c:v>12099.6</c:v>
                </c:pt>
                <c:pt idx="248">
                  <c:v>12094.7</c:v>
                </c:pt>
                <c:pt idx="249">
                  <c:v>11966.9</c:v>
                </c:pt>
                <c:pt idx="250">
                  <c:v>11879.6</c:v>
                </c:pt>
                <c:pt idx="251">
                  <c:v>11853.7</c:v>
                </c:pt>
                <c:pt idx="252">
                  <c:v>11821.6</c:v>
                </c:pt>
                <c:pt idx="253">
                  <c:v>11817.1</c:v>
                </c:pt>
                <c:pt idx="254">
                  <c:v>11783.3</c:v>
                </c:pt>
                <c:pt idx="255">
                  <c:v>11721</c:v>
                </c:pt>
                <c:pt idx="256">
                  <c:v>11715.1</c:v>
                </c:pt>
                <c:pt idx="257">
                  <c:v>11678.7</c:v>
                </c:pt>
                <c:pt idx="258">
                  <c:v>11640.6</c:v>
                </c:pt>
                <c:pt idx="259">
                  <c:v>11632.9</c:v>
                </c:pt>
                <c:pt idx="260">
                  <c:v>11588.8</c:v>
                </c:pt>
                <c:pt idx="261">
                  <c:v>11575.2</c:v>
                </c:pt>
                <c:pt idx="262">
                  <c:v>11566.2</c:v>
                </c:pt>
                <c:pt idx="263">
                  <c:v>11481.4</c:v>
                </c:pt>
                <c:pt idx="264">
                  <c:v>11480.4</c:v>
                </c:pt>
                <c:pt idx="265">
                  <c:v>11475.1</c:v>
                </c:pt>
                <c:pt idx="266">
                  <c:v>11459.5</c:v>
                </c:pt>
                <c:pt idx="267">
                  <c:v>11428.5</c:v>
                </c:pt>
                <c:pt idx="268">
                  <c:v>11314.2</c:v>
                </c:pt>
                <c:pt idx="269">
                  <c:v>11238.2</c:v>
                </c:pt>
                <c:pt idx="270">
                  <c:v>11232.6</c:v>
                </c:pt>
                <c:pt idx="271">
                  <c:v>11198.8</c:v>
                </c:pt>
                <c:pt idx="272">
                  <c:v>11196</c:v>
                </c:pt>
                <c:pt idx="273">
                  <c:v>11149</c:v>
                </c:pt>
                <c:pt idx="274">
                  <c:v>11063.6</c:v>
                </c:pt>
                <c:pt idx="275">
                  <c:v>11060.5</c:v>
                </c:pt>
                <c:pt idx="276">
                  <c:v>11051.4</c:v>
                </c:pt>
                <c:pt idx="277">
                  <c:v>11014.9</c:v>
                </c:pt>
                <c:pt idx="278">
                  <c:v>10985.7</c:v>
                </c:pt>
                <c:pt idx="279">
                  <c:v>10974</c:v>
                </c:pt>
                <c:pt idx="280">
                  <c:v>10968.8</c:v>
                </c:pt>
                <c:pt idx="281">
                  <c:v>10939.4</c:v>
                </c:pt>
                <c:pt idx="282">
                  <c:v>10933.4</c:v>
                </c:pt>
                <c:pt idx="283">
                  <c:v>10914.2</c:v>
                </c:pt>
                <c:pt idx="284">
                  <c:v>10902.6</c:v>
                </c:pt>
                <c:pt idx="285">
                  <c:v>10783.2</c:v>
                </c:pt>
                <c:pt idx="286">
                  <c:v>10776.2</c:v>
                </c:pt>
                <c:pt idx="287">
                  <c:v>10772</c:v>
                </c:pt>
                <c:pt idx="288">
                  <c:v>10771.3</c:v>
                </c:pt>
                <c:pt idx="289">
                  <c:v>10767.6</c:v>
                </c:pt>
                <c:pt idx="290">
                  <c:v>10760.4</c:v>
                </c:pt>
                <c:pt idx="291">
                  <c:v>10756.4</c:v>
                </c:pt>
                <c:pt idx="292">
                  <c:v>10731.7</c:v>
                </c:pt>
                <c:pt idx="293">
                  <c:v>10712.8</c:v>
                </c:pt>
                <c:pt idx="294">
                  <c:v>10711.2</c:v>
                </c:pt>
                <c:pt idx="295">
                  <c:v>10696.6</c:v>
                </c:pt>
                <c:pt idx="296">
                  <c:v>10616.1</c:v>
                </c:pt>
                <c:pt idx="297">
                  <c:v>10607</c:v>
                </c:pt>
                <c:pt idx="298">
                  <c:v>10571.1</c:v>
                </c:pt>
                <c:pt idx="299">
                  <c:v>10489.6</c:v>
                </c:pt>
                <c:pt idx="300">
                  <c:v>10476.9</c:v>
                </c:pt>
                <c:pt idx="301">
                  <c:v>10449</c:v>
                </c:pt>
                <c:pt idx="302">
                  <c:v>10368.700000000001</c:v>
                </c:pt>
                <c:pt idx="303">
                  <c:v>10352.799999999999</c:v>
                </c:pt>
                <c:pt idx="304">
                  <c:v>10332.799999999999</c:v>
                </c:pt>
                <c:pt idx="305">
                  <c:v>10313.5</c:v>
                </c:pt>
                <c:pt idx="306">
                  <c:v>10293</c:v>
                </c:pt>
                <c:pt idx="307">
                  <c:v>10290.6</c:v>
                </c:pt>
                <c:pt idx="308">
                  <c:v>10234.299999999999</c:v>
                </c:pt>
                <c:pt idx="309">
                  <c:v>10231.200000000001</c:v>
                </c:pt>
                <c:pt idx="310">
                  <c:v>10180.200000000001</c:v>
                </c:pt>
                <c:pt idx="311">
                  <c:v>10179.299999999999</c:v>
                </c:pt>
                <c:pt idx="312">
                  <c:v>10165</c:v>
                </c:pt>
                <c:pt idx="313">
                  <c:v>10160.5</c:v>
                </c:pt>
                <c:pt idx="314">
                  <c:v>10147.9</c:v>
                </c:pt>
                <c:pt idx="315">
                  <c:v>10141.700000000001</c:v>
                </c:pt>
                <c:pt idx="316">
                  <c:v>10122.5</c:v>
                </c:pt>
                <c:pt idx="317">
                  <c:v>10115.700000000001</c:v>
                </c:pt>
                <c:pt idx="318">
                  <c:v>10108</c:v>
                </c:pt>
                <c:pt idx="319">
                  <c:v>10095.5</c:v>
                </c:pt>
                <c:pt idx="320">
                  <c:v>10048.299999999999</c:v>
                </c:pt>
                <c:pt idx="321">
                  <c:v>9970.2000000000007</c:v>
                </c:pt>
                <c:pt idx="322">
                  <c:v>9949.6</c:v>
                </c:pt>
                <c:pt idx="323">
                  <c:v>9948.7000000000007</c:v>
                </c:pt>
                <c:pt idx="324">
                  <c:v>9933.4</c:v>
                </c:pt>
                <c:pt idx="325">
                  <c:v>9914.5</c:v>
                </c:pt>
                <c:pt idx="326">
                  <c:v>9914.4</c:v>
                </c:pt>
                <c:pt idx="327">
                  <c:v>9909.5</c:v>
                </c:pt>
                <c:pt idx="328">
                  <c:v>9899.4</c:v>
                </c:pt>
                <c:pt idx="329">
                  <c:v>9869.2999999999993</c:v>
                </c:pt>
                <c:pt idx="330">
                  <c:v>9862.6</c:v>
                </c:pt>
                <c:pt idx="331">
                  <c:v>9859.6</c:v>
                </c:pt>
                <c:pt idx="332">
                  <c:v>9854</c:v>
                </c:pt>
                <c:pt idx="333">
                  <c:v>9797.7999999999993</c:v>
                </c:pt>
                <c:pt idx="334">
                  <c:v>9734</c:v>
                </c:pt>
                <c:pt idx="335">
                  <c:v>9713</c:v>
                </c:pt>
                <c:pt idx="336">
                  <c:v>9666.1</c:v>
                </c:pt>
                <c:pt idx="337">
                  <c:v>9609</c:v>
                </c:pt>
                <c:pt idx="338">
                  <c:v>9513.7000000000007</c:v>
                </c:pt>
                <c:pt idx="339">
                  <c:v>9513</c:v>
                </c:pt>
                <c:pt idx="340">
                  <c:v>9503.2999999999993</c:v>
                </c:pt>
                <c:pt idx="341">
                  <c:v>9495.2000000000007</c:v>
                </c:pt>
                <c:pt idx="342">
                  <c:v>9439.9</c:v>
                </c:pt>
                <c:pt idx="343">
                  <c:v>9437.2999999999993</c:v>
                </c:pt>
                <c:pt idx="344">
                  <c:v>9401</c:v>
                </c:pt>
                <c:pt idx="345">
                  <c:v>9362.2999999999993</c:v>
                </c:pt>
                <c:pt idx="346">
                  <c:v>9340.1</c:v>
                </c:pt>
                <c:pt idx="347">
                  <c:v>9314.7999999999993</c:v>
                </c:pt>
                <c:pt idx="348">
                  <c:v>9302.9</c:v>
                </c:pt>
                <c:pt idx="349">
                  <c:v>9290.9</c:v>
                </c:pt>
                <c:pt idx="350">
                  <c:v>9213.5</c:v>
                </c:pt>
                <c:pt idx="351">
                  <c:v>9212.4</c:v>
                </c:pt>
                <c:pt idx="352">
                  <c:v>9206.7000000000007</c:v>
                </c:pt>
                <c:pt idx="353">
                  <c:v>9177.5</c:v>
                </c:pt>
                <c:pt idx="354">
                  <c:v>9121.6</c:v>
                </c:pt>
                <c:pt idx="355">
                  <c:v>9115.7000000000007</c:v>
                </c:pt>
                <c:pt idx="356">
                  <c:v>9107.5</c:v>
                </c:pt>
                <c:pt idx="357">
                  <c:v>9084.9</c:v>
                </c:pt>
                <c:pt idx="358">
                  <c:v>9076.4</c:v>
                </c:pt>
                <c:pt idx="359">
                  <c:v>9056.5</c:v>
                </c:pt>
                <c:pt idx="360">
                  <c:v>8988.2000000000007</c:v>
                </c:pt>
                <c:pt idx="361">
                  <c:v>8965</c:v>
                </c:pt>
                <c:pt idx="362">
                  <c:v>8960.1</c:v>
                </c:pt>
                <c:pt idx="363">
                  <c:v>8927.6</c:v>
                </c:pt>
                <c:pt idx="364">
                  <c:v>8916</c:v>
                </c:pt>
                <c:pt idx="365">
                  <c:v>8909.9</c:v>
                </c:pt>
                <c:pt idx="366">
                  <c:v>8906.9</c:v>
                </c:pt>
                <c:pt idx="367">
                  <c:v>8899.6</c:v>
                </c:pt>
                <c:pt idx="368">
                  <c:v>8848.2999999999993</c:v>
                </c:pt>
                <c:pt idx="369">
                  <c:v>8831</c:v>
                </c:pt>
                <c:pt idx="370">
                  <c:v>8828.7999999999993</c:v>
                </c:pt>
                <c:pt idx="371">
                  <c:v>8809.4</c:v>
                </c:pt>
                <c:pt idx="372">
                  <c:v>8801.6</c:v>
                </c:pt>
                <c:pt idx="373">
                  <c:v>8780.4</c:v>
                </c:pt>
                <c:pt idx="374">
                  <c:v>8779.9</c:v>
                </c:pt>
                <c:pt idx="375">
                  <c:v>8733</c:v>
                </c:pt>
                <c:pt idx="376">
                  <c:v>8715.2000000000007</c:v>
                </c:pt>
                <c:pt idx="377">
                  <c:v>8706.4</c:v>
                </c:pt>
                <c:pt idx="378">
                  <c:v>8699.2000000000007</c:v>
                </c:pt>
                <c:pt idx="379">
                  <c:v>8647.7999999999993</c:v>
                </c:pt>
                <c:pt idx="380">
                  <c:v>8622.1</c:v>
                </c:pt>
                <c:pt idx="381">
                  <c:v>8617.1</c:v>
                </c:pt>
                <c:pt idx="382">
                  <c:v>8591.1</c:v>
                </c:pt>
                <c:pt idx="383">
                  <c:v>8584.2000000000007</c:v>
                </c:pt>
                <c:pt idx="384">
                  <c:v>8564.5</c:v>
                </c:pt>
                <c:pt idx="385">
                  <c:v>8564.4</c:v>
                </c:pt>
                <c:pt idx="386">
                  <c:v>8551.4</c:v>
                </c:pt>
                <c:pt idx="387">
                  <c:v>8531.2999999999993</c:v>
                </c:pt>
                <c:pt idx="388">
                  <c:v>8509.5</c:v>
                </c:pt>
                <c:pt idx="389">
                  <c:v>8507.9</c:v>
                </c:pt>
                <c:pt idx="390">
                  <c:v>8485.9</c:v>
                </c:pt>
                <c:pt idx="391">
                  <c:v>8472.9</c:v>
                </c:pt>
                <c:pt idx="392">
                  <c:v>8457.4</c:v>
                </c:pt>
                <c:pt idx="393">
                  <c:v>8453.7000000000007</c:v>
                </c:pt>
                <c:pt idx="394">
                  <c:v>8439.5</c:v>
                </c:pt>
                <c:pt idx="395">
                  <c:v>8433.7999999999993</c:v>
                </c:pt>
                <c:pt idx="396">
                  <c:v>8382.9</c:v>
                </c:pt>
                <c:pt idx="397">
                  <c:v>8371.5</c:v>
                </c:pt>
                <c:pt idx="398">
                  <c:v>8370.9</c:v>
                </c:pt>
                <c:pt idx="399">
                  <c:v>8366.2999999999993</c:v>
                </c:pt>
                <c:pt idx="400">
                  <c:v>8339.2999999999993</c:v>
                </c:pt>
                <c:pt idx="401">
                  <c:v>8330.4</c:v>
                </c:pt>
                <c:pt idx="402">
                  <c:v>8326.7000000000007</c:v>
                </c:pt>
                <c:pt idx="403">
                  <c:v>8316.5</c:v>
                </c:pt>
                <c:pt idx="404">
                  <c:v>8309.1</c:v>
                </c:pt>
                <c:pt idx="405">
                  <c:v>8282.2999999999993</c:v>
                </c:pt>
                <c:pt idx="406">
                  <c:v>8278.7000000000007</c:v>
                </c:pt>
                <c:pt idx="407">
                  <c:v>8263</c:v>
                </c:pt>
                <c:pt idx="408">
                  <c:v>8240.2000000000007</c:v>
                </c:pt>
                <c:pt idx="409">
                  <c:v>8235.9</c:v>
                </c:pt>
                <c:pt idx="410">
                  <c:v>8216.5</c:v>
                </c:pt>
                <c:pt idx="411">
                  <c:v>8205.4</c:v>
                </c:pt>
                <c:pt idx="412">
                  <c:v>8203</c:v>
                </c:pt>
                <c:pt idx="413">
                  <c:v>8200.1</c:v>
                </c:pt>
                <c:pt idx="414">
                  <c:v>8197.2000000000007</c:v>
                </c:pt>
                <c:pt idx="415">
                  <c:v>8186.9</c:v>
                </c:pt>
                <c:pt idx="416">
                  <c:v>8164.9</c:v>
                </c:pt>
                <c:pt idx="417">
                  <c:v>8148</c:v>
                </c:pt>
                <c:pt idx="418">
                  <c:v>8092.2</c:v>
                </c:pt>
                <c:pt idx="419">
                  <c:v>8065.4</c:v>
                </c:pt>
                <c:pt idx="420">
                  <c:v>8063.4</c:v>
                </c:pt>
                <c:pt idx="421">
                  <c:v>8056.8</c:v>
                </c:pt>
                <c:pt idx="422">
                  <c:v>8043.6</c:v>
                </c:pt>
                <c:pt idx="423">
                  <c:v>8030.3</c:v>
                </c:pt>
                <c:pt idx="424">
                  <c:v>8019.9</c:v>
                </c:pt>
                <c:pt idx="425">
                  <c:v>8014.7</c:v>
                </c:pt>
                <c:pt idx="426">
                  <c:v>7987.3</c:v>
                </c:pt>
                <c:pt idx="427">
                  <c:v>7976.6</c:v>
                </c:pt>
                <c:pt idx="428">
                  <c:v>7940.4</c:v>
                </c:pt>
                <c:pt idx="429">
                  <c:v>7934.8</c:v>
                </c:pt>
                <c:pt idx="430">
                  <c:v>7934.5</c:v>
                </c:pt>
                <c:pt idx="431">
                  <c:v>7921.6</c:v>
                </c:pt>
                <c:pt idx="432">
                  <c:v>7892.9</c:v>
                </c:pt>
                <c:pt idx="433">
                  <c:v>7891.3</c:v>
                </c:pt>
                <c:pt idx="434">
                  <c:v>7886.9</c:v>
                </c:pt>
                <c:pt idx="435">
                  <c:v>7871.9</c:v>
                </c:pt>
                <c:pt idx="436">
                  <c:v>7852.2</c:v>
                </c:pt>
                <c:pt idx="437">
                  <c:v>7838.9</c:v>
                </c:pt>
                <c:pt idx="438">
                  <c:v>7824.1</c:v>
                </c:pt>
                <c:pt idx="439">
                  <c:v>7817.3</c:v>
                </c:pt>
                <c:pt idx="440">
                  <c:v>7810.5</c:v>
                </c:pt>
                <c:pt idx="441">
                  <c:v>7787.8</c:v>
                </c:pt>
                <c:pt idx="442">
                  <c:v>7785.3</c:v>
                </c:pt>
                <c:pt idx="443">
                  <c:v>7765.7</c:v>
                </c:pt>
                <c:pt idx="444">
                  <c:v>7738.2</c:v>
                </c:pt>
                <c:pt idx="445">
                  <c:v>7729.6</c:v>
                </c:pt>
                <c:pt idx="446">
                  <c:v>7713.9</c:v>
                </c:pt>
                <c:pt idx="447">
                  <c:v>7689.5</c:v>
                </c:pt>
                <c:pt idx="448">
                  <c:v>7673.1</c:v>
                </c:pt>
                <c:pt idx="449">
                  <c:v>7661.6</c:v>
                </c:pt>
                <c:pt idx="450">
                  <c:v>7645.2</c:v>
                </c:pt>
                <c:pt idx="451">
                  <c:v>7628.1</c:v>
                </c:pt>
                <c:pt idx="452">
                  <c:v>7618.8</c:v>
                </c:pt>
                <c:pt idx="453">
                  <c:v>7612.3</c:v>
                </c:pt>
                <c:pt idx="454">
                  <c:v>7608.2</c:v>
                </c:pt>
                <c:pt idx="455">
                  <c:v>7596.7</c:v>
                </c:pt>
                <c:pt idx="456">
                  <c:v>7589.1</c:v>
                </c:pt>
                <c:pt idx="457">
                  <c:v>7552.8</c:v>
                </c:pt>
                <c:pt idx="458">
                  <c:v>7550.3</c:v>
                </c:pt>
                <c:pt idx="459">
                  <c:v>7543.1</c:v>
                </c:pt>
                <c:pt idx="460">
                  <c:v>7503.2</c:v>
                </c:pt>
                <c:pt idx="461">
                  <c:v>7486.2</c:v>
                </c:pt>
                <c:pt idx="462">
                  <c:v>7485.1</c:v>
                </c:pt>
                <c:pt idx="463">
                  <c:v>7467.3</c:v>
                </c:pt>
                <c:pt idx="464">
                  <c:v>7453.2</c:v>
                </c:pt>
                <c:pt idx="465">
                  <c:v>7450.6</c:v>
                </c:pt>
                <c:pt idx="466">
                  <c:v>7431.9</c:v>
                </c:pt>
                <c:pt idx="467">
                  <c:v>7423.5</c:v>
                </c:pt>
                <c:pt idx="468">
                  <c:v>7416.8</c:v>
                </c:pt>
                <c:pt idx="469">
                  <c:v>7405.6</c:v>
                </c:pt>
                <c:pt idx="470">
                  <c:v>7388.4</c:v>
                </c:pt>
                <c:pt idx="471">
                  <c:v>7387.8</c:v>
                </c:pt>
                <c:pt idx="472">
                  <c:v>7377.9</c:v>
                </c:pt>
                <c:pt idx="473">
                  <c:v>7352.6</c:v>
                </c:pt>
                <c:pt idx="474">
                  <c:v>7347.9</c:v>
                </c:pt>
                <c:pt idx="475">
                  <c:v>7337.5</c:v>
                </c:pt>
                <c:pt idx="476">
                  <c:v>7335.2</c:v>
                </c:pt>
                <c:pt idx="477">
                  <c:v>7326.6</c:v>
                </c:pt>
                <c:pt idx="478">
                  <c:v>7313.2</c:v>
                </c:pt>
                <c:pt idx="479">
                  <c:v>7286.8</c:v>
                </c:pt>
                <c:pt idx="480">
                  <c:v>7277.6</c:v>
                </c:pt>
                <c:pt idx="481">
                  <c:v>7256.2</c:v>
                </c:pt>
                <c:pt idx="482">
                  <c:v>7252.1</c:v>
                </c:pt>
                <c:pt idx="483">
                  <c:v>7239.7</c:v>
                </c:pt>
                <c:pt idx="484">
                  <c:v>7237.6</c:v>
                </c:pt>
                <c:pt idx="485">
                  <c:v>7209.6</c:v>
                </c:pt>
                <c:pt idx="486">
                  <c:v>7192.6</c:v>
                </c:pt>
                <c:pt idx="487">
                  <c:v>7182.1</c:v>
                </c:pt>
                <c:pt idx="488">
                  <c:v>7123.4</c:v>
                </c:pt>
                <c:pt idx="489">
                  <c:v>7114.1</c:v>
                </c:pt>
                <c:pt idx="490">
                  <c:v>7073.7</c:v>
                </c:pt>
                <c:pt idx="491">
                  <c:v>7061.3</c:v>
                </c:pt>
                <c:pt idx="492">
                  <c:v>7059.2</c:v>
                </c:pt>
                <c:pt idx="493">
                  <c:v>7059.2</c:v>
                </c:pt>
                <c:pt idx="494">
                  <c:v>7048.5</c:v>
                </c:pt>
                <c:pt idx="495">
                  <c:v>7034.1</c:v>
                </c:pt>
                <c:pt idx="496">
                  <c:v>7029.1</c:v>
                </c:pt>
                <c:pt idx="497">
                  <c:v>7018.9</c:v>
                </c:pt>
                <c:pt idx="498">
                  <c:v>6976.4</c:v>
                </c:pt>
                <c:pt idx="499">
                  <c:v>6972</c:v>
                </c:pt>
              </c:numCache>
            </c:numRef>
          </c:val>
          <c:extLst>
            <c:ext xmlns:c16="http://schemas.microsoft.com/office/drawing/2014/chart" uri="{C3380CC4-5D6E-409C-BE32-E72D297353CC}">
              <c16:uniqueId val="{00000000-3504-4F4F-B768-19793403D95B}"/>
            </c:ext>
          </c:extLst>
        </c:ser>
        <c:dLbls>
          <c:showLegendKey val="0"/>
          <c:showVal val="0"/>
          <c:showCatName val="0"/>
          <c:showSerName val="0"/>
          <c:showPercent val="0"/>
          <c:showBubbleSize val="0"/>
        </c:dLbls>
        <c:gapWidth val="100"/>
        <c:overlap val="-24"/>
        <c:axId val="1336539823"/>
        <c:axId val="714600303"/>
      </c:barChart>
      <c:catAx>
        <c:axId val="1336539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600303"/>
        <c:crosses val="autoZero"/>
        <c:auto val="1"/>
        <c:lblAlgn val="ctr"/>
        <c:lblOffset val="100"/>
        <c:noMultiLvlLbl val="0"/>
      </c:catAx>
      <c:valAx>
        <c:axId val="7146003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653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Streaming Performance Dataset.csv.xlsx]Top Artists!top 10 artist</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Artists'!$B$1</c:f>
              <c:strCache>
                <c:ptCount val="1"/>
                <c:pt idx="0">
                  <c:v>Total</c:v>
                </c:pt>
              </c:strCache>
            </c:strRef>
          </c:tx>
          <c:spPr>
            <a:solidFill>
              <a:srgbClr val="00B050"/>
            </a:solidFill>
            <a:ln>
              <a:noFill/>
            </a:ln>
            <a:effectLst>
              <a:outerShdw blurRad="57150" dist="19050" dir="5400000" algn="ctr" rotWithShape="0">
                <a:srgbClr val="000000">
                  <a:alpha val="63000"/>
                </a:srgbClr>
              </a:outerShdw>
            </a:effectLst>
          </c:spPr>
          <c:invertIfNegative val="0"/>
          <c:cat>
            <c:strRef>
              <c:f>'Top Artists'!$A$2:$A$12</c:f>
              <c:strCache>
                <c:ptCount val="10"/>
                <c:pt idx="0">
                  <c:v>Drake</c:v>
                </c:pt>
                <c:pt idx="1">
                  <c:v>Taylor Swift</c:v>
                </c:pt>
                <c:pt idx="2">
                  <c:v>Bad Bunny</c:v>
                </c:pt>
                <c:pt idx="3">
                  <c:v>The Weeknd</c:v>
                </c:pt>
                <c:pt idx="4">
                  <c:v>Justin Bieber</c:v>
                </c:pt>
                <c:pt idx="5">
                  <c:v>Ariana Grande</c:v>
                </c:pt>
                <c:pt idx="6">
                  <c:v>Travis Scott</c:v>
                </c:pt>
                <c:pt idx="7">
                  <c:v>Kanye West</c:v>
                </c:pt>
                <c:pt idx="8">
                  <c:v>Ed Sheeran</c:v>
                </c:pt>
                <c:pt idx="9">
                  <c:v>Eminem</c:v>
                </c:pt>
              </c:strCache>
            </c:strRef>
          </c:cat>
          <c:val>
            <c:numRef>
              <c:f>'Top Artists'!$B$2:$B$12</c:f>
              <c:numCache>
                <c:formatCode>General</c:formatCode>
                <c:ptCount val="10"/>
                <c:pt idx="0">
                  <c:v>137492.1</c:v>
                </c:pt>
                <c:pt idx="1">
                  <c:v>127861</c:v>
                </c:pt>
                <c:pt idx="2">
                  <c:v>125899.8</c:v>
                </c:pt>
                <c:pt idx="3">
                  <c:v>95703.2</c:v>
                </c:pt>
                <c:pt idx="4">
                  <c:v>78104.399999999994</c:v>
                </c:pt>
                <c:pt idx="5">
                  <c:v>68298.899999999994</c:v>
                </c:pt>
                <c:pt idx="6">
                  <c:v>65349.7</c:v>
                </c:pt>
                <c:pt idx="7">
                  <c:v>65142.9</c:v>
                </c:pt>
                <c:pt idx="8">
                  <c:v>64656.9</c:v>
                </c:pt>
                <c:pt idx="9">
                  <c:v>64549</c:v>
                </c:pt>
              </c:numCache>
            </c:numRef>
          </c:val>
          <c:extLst>
            <c:ext xmlns:c16="http://schemas.microsoft.com/office/drawing/2014/chart" uri="{C3380CC4-5D6E-409C-BE32-E72D297353CC}">
              <c16:uniqueId val="{00000000-44CA-422E-8417-345B6100DD58}"/>
            </c:ext>
          </c:extLst>
        </c:ser>
        <c:dLbls>
          <c:showLegendKey val="0"/>
          <c:showVal val="0"/>
          <c:showCatName val="0"/>
          <c:showSerName val="0"/>
          <c:showPercent val="0"/>
          <c:showBubbleSize val="0"/>
        </c:dLbls>
        <c:gapWidth val="100"/>
        <c:overlap val="-24"/>
        <c:axId val="380103952"/>
        <c:axId val="225874128"/>
      </c:barChart>
      <c:catAx>
        <c:axId val="380103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5874128"/>
        <c:crosses val="autoZero"/>
        <c:auto val="1"/>
        <c:lblAlgn val="ctr"/>
        <c:lblOffset val="100"/>
        <c:noMultiLvlLbl val="0"/>
      </c:catAx>
      <c:valAx>
        <c:axId val="225874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010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Streaming Performance Dataset.csv.xlsx]Stream Per Country!stream per country</c:name>
    <c:fmtId val="3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'Stream Per Country'!$B$1</c:f>
              <c:strCache>
                <c:ptCount val="1"/>
                <c:pt idx="0">
                  <c:v>Total</c:v>
                </c:pt>
              </c:strCache>
            </c:strRef>
          </c:tx>
          <c:spPr>
            <a:solidFill>
              <a:schemeClr val="accent3">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'Stream Per Country'!$A$2:$A$45</c:f>
              <c:strCache>
                <c:ptCount val="43"/>
                <c:pt idx="0">
                  <c:v>United States</c:v>
                </c:pt>
                <c:pt idx="1">
                  <c:v>United Kingdom</c:v>
                </c:pt>
                <c:pt idx="2">
                  <c:v>Canada</c:v>
                </c:pt>
                <c:pt idx="3">
                  <c:v>Mexico</c:v>
                </c:pt>
                <c:pt idx="4">
                  <c:v>Colombia</c:v>
                </c:pt>
                <c:pt idx="5">
                  <c:v>India</c:v>
                </c:pt>
                <c:pt idx="6">
                  <c:v>Brazil</c:v>
                </c:pt>
                <c:pt idx="7">
                  <c:v>South Korea</c:v>
                </c:pt>
                <c:pt idx="8">
                  <c:v>Australia</c:v>
                </c:pt>
                <c:pt idx="9">
                  <c:v>France</c:v>
                </c:pt>
                <c:pt idx="10">
                  <c:v>Argentina</c:v>
                </c:pt>
                <c:pt idx="11">
                  <c:v>Germany</c:v>
                </c:pt>
                <c:pt idx="12">
                  <c:v>Spain</c:v>
                </c:pt>
                <c:pt idx="13">
                  <c:v>Sweden</c:v>
                </c:pt>
                <c:pt idx="14">
                  <c:v>Barbados</c:v>
                </c:pt>
                <c:pt idx="15">
                  <c:v>Scotland</c:v>
                </c:pt>
                <c:pt idx="16">
                  <c:v>Ireland</c:v>
                </c:pt>
                <c:pt idx="17">
                  <c:v>Trinidad and Tobago</c:v>
                </c:pt>
                <c:pt idx="18">
                  <c:v>Norway</c:v>
                </c:pt>
                <c:pt idx="19">
                  <c:v>Jamaica</c:v>
                </c:pt>
                <c:pt idx="20">
                  <c:v>Netherlands</c:v>
                </c:pt>
                <c:pt idx="21">
                  <c:v>Italy</c:v>
                </c:pt>
                <c:pt idx="22">
                  <c:v>Japan</c:v>
                </c:pt>
                <c:pt idx="23">
                  <c:v>Cuba</c:v>
                </c:pt>
                <c:pt idx="24">
                  <c:v>Nigeria</c:v>
                </c:pt>
                <c:pt idx="25">
                  <c:v>Panama</c:v>
                </c:pt>
                <c:pt idx="26">
                  <c:v>Dominican Republic</c:v>
                </c:pt>
                <c:pt idx="27">
                  <c:v>Senegal</c:v>
                </c:pt>
                <c:pt idx="28">
                  <c:v>New Zealand</c:v>
                </c:pt>
                <c:pt idx="29">
                  <c:v>Morocco</c:v>
                </c:pt>
                <c:pt idx="30">
                  <c:v>Chile</c:v>
                </c:pt>
                <c:pt idx="31">
                  <c:v>Russia</c:v>
                </c:pt>
                <c:pt idx="32">
                  <c:v>South Africa</c:v>
                </c:pt>
                <c:pt idx="33">
                  <c:v>Venezuela</c:v>
                </c:pt>
                <c:pt idx="34">
                  <c:v>Belgium</c:v>
                </c:pt>
                <c:pt idx="35">
                  <c:v>DR Congo</c:v>
                </c:pt>
                <c:pt idx="36">
                  <c:v>Nepal</c:v>
                </c:pt>
                <c:pt idx="37">
                  <c:v>Pakistan</c:v>
                </c:pt>
                <c:pt idx="38">
                  <c:v>Guatemala</c:v>
                </c:pt>
                <c:pt idx="39">
                  <c:v>Austria</c:v>
                </c:pt>
                <c:pt idx="40">
                  <c:v>Philippines</c:v>
                </c:pt>
                <c:pt idx="41">
                  <c:v>Denmark</c:v>
                </c:pt>
                <c:pt idx="42">
                  <c:v>Iceland</c:v>
                </c:pt>
              </c:strCache>
            </c:strRef>
          </c:cat>
          <c:val>
            <c:numRef>
              <c:f>'Stream Per Country'!$B$2:$B$45</c:f>
              <c:numCache>
                <c:formatCode>General</c:formatCode>
                <c:ptCount val="43"/>
                <c:pt idx="0">
                  <c:v>4786604.0000000009</c:v>
                </c:pt>
                <c:pt idx="1">
                  <c:v>852177.79999999981</c:v>
                </c:pt>
                <c:pt idx="2">
                  <c:v>496760.29999999993</c:v>
                </c:pt>
                <c:pt idx="3">
                  <c:v>332177.89999999997</c:v>
                </c:pt>
                <c:pt idx="4">
                  <c:v>327813.8</c:v>
                </c:pt>
                <c:pt idx="5">
                  <c:v>186954.7</c:v>
                </c:pt>
                <c:pt idx="6">
                  <c:v>164438.99999999997</c:v>
                </c:pt>
                <c:pt idx="7">
                  <c:v>157338.70000000001</c:v>
                </c:pt>
                <c:pt idx="8">
                  <c:v>108994.90000000001</c:v>
                </c:pt>
                <c:pt idx="9">
                  <c:v>100884.5</c:v>
                </c:pt>
                <c:pt idx="10">
                  <c:v>90817.600000000006</c:v>
                </c:pt>
                <c:pt idx="11">
                  <c:v>81741.7</c:v>
                </c:pt>
                <c:pt idx="12">
                  <c:v>72045.3</c:v>
                </c:pt>
                <c:pt idx="13">
                  <c:v>64792.1</c:v>
                </c:pt>
                <c:pt idx="14">
                  <c:v>60670.7</c:v>
                </c:pt>
                <c:pt idx="15">
                  <c:v>48217.5</c:v>
                </c:pt>
                <c:pt idx="16">
                  <c:v>43945.1</c:v>
                </c:pt>
                <c:pt idx="17">
                  <c:v>43330.3</c:v>
                </c:pt>
                <c:pt idx="18">
                  <c:v>36601.199999999997</c:v>
                </c:pt>
                <c:pt idx="19">
                  <c:v>33196</c:v>
                </c:pt>
                <c:pt idx="20">
                  <c:v>31685.8</c:v>
                </c:pt>
                <c:pt idx="21">
                  <c:v>26576.399999999998</c:v>
                </c:pt>
                <c:pt idx="22">
                  <c:v>25451.5</c:v>
                </c:pt>
                <c:pt idx="23">
                  <c:v>21546.2</c:v>
                </c:pt>
                <c:pt idx="24">
                  <c:v>21439.599999999999</c:v>
                </c:pt>
                <c:pt idx="25">
                  <c:v>19528.3</c:v>
                </c:pt>
                <c:pt idx="26">
                  <c:v>18016.599999999999</c:v>
                </c:pt>
                <c:pt idx="27">
                  <c:v>17056</c:v>
                </c:pt>
                <c:pt idx="28">
                  <c:v>11721</c:v>
                </c:pt>
                <c:pt idx="29">
                  <c:v>11640.6</c:v>
                </c:pt>
                <c:pt idx="30">
                  <c:v>11566.2</c:v>
                </c:pt>
                <c:pt idx="31">
                  <c:v>11481.4</c:v>
                </c:pt>
                <c:pt idx="32">
                  <c:v>10332.799999999999</c:v>
                </c:pt>
                <c:pt idx="33">
                  <c:v>10234.299999999999</c:v>
                </c:pt>
                <c:pt idx="34">
                  <c:v>8699.2000000000007</c:v>
                </c:pt>
                <c:pt idx="35">
                  <c:v>8439.5</c:v>
                </c:pt>
                <c:pt idx="36">
                  <c:v>8186.9</c:v>
                </c:pt>
                <c:pt idx="37">
                  <c:v>7934.5</c:v>
                </c:pt>
                <c:pt idx="38">
                  <c:v>7852.2</c:v>
                </c:pt>
                <c:pt idx="39">
                  <c:v>7738.2</c:v>
                </c:pt>
                <c:pt idx="40">
                  <c:v>7552.8</c:v>
                </c:pt>
                <c:pt idx="41">
                  <c:v>7335.2</c:v>
                </c:pt>
                <c:pt idx="42">
                  <c:v>7286.8</c:v>
                </c:pt>
              </c:numCache>
            </c:numRef>
          </c:val>
          <c:extLst>
            <c:ext xmlns:c16="http://schemas.microsoft.com/office/drawing/2014/chart" uri="{C3380CC4-5D6E-409C-BE32-E72D297353CC}">
              <c16:uniqueId val="{00000000-0276-48ED-B5CE-0AC7B02AF509}"/>
            </c:ext>
          </c:extLst>
        </c:ser>
        <c:dLbls>
          <c:dLblPos val="outEnd"/>
          <c:showLegendKey val="0"/>
          <c:showVal val="1"/>
          <c:showCatName val="0"/>
          <c:showSerName val="0"/>
          <c:showPercent val="0"/>
          <c:showBubbleSize val="0"/>
        </c:dLbls>
        <c:gapWidth val="115"/>
        <c:overlap val="-20"/>
        <c:axId val="1513695120"/>
        <c:axId val="1125279376"/>
      </c:barChart>
      <c:catAx>
        <c:axId val="15136951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5279376"/>
        <c:crosses val="autoZero"/>
        <c:auto val="1"/>
        <c:lblAlgn val="ctr"/>
        <c:lblOffset val="100"/>
        <c:noMultiLvlLbl val="0"/>
      </c:catAx>
      <c:valAx>
        <c:axId val="11252793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369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Streaming Performance Dataset.csv.xlsx]Group vs Solo Analysis!group vs solo</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Solo vs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349082964356787"/>
              <c:y val="-2.77775955088947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357272437412726"/>
                  <c:h val="0.14953703703703702"/>
                </c:manualLayout>
              </c15:layout>
            </c:ext>
          </c:extLst>
        </c:dLbl>
      </c:pivotFmt>
      <c:pivotFmt>
        <c:idx val="2"/>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154857061182305"/>
              <c:y val="-9.259076990376202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CDABC5B-4918-4FDA-8A70-0BB2AC7C6961}" type="VALUE">
                  <a:rPr lang="en-US" sz="1200"/>
                  <a:pPr>
                    <a:defRPr sz="900" b="0" i="0" u="none" strike="noStrike" kern="1200" baseline="0">
                      <a:solidFill>
                        <a:schemeClr val="lt1">
                          <a:lumMod val="8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60421944772101"/>
                  <c:h val="0.14953703703703702"/>
                </c:manualLayout>
              </c15:layout>
              <c15:dlblFieldTable/>
              <c15:showDataLabelsRange val="0"/>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349082964356787"/>
              <c:y val="-2.77775955088947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357272437412726"/>
                  <c:h val="0.14953703703703702"/>
                </c:manualLayout>
              </c15:layout>
            </c:ext>
          </c:extLst>
        </c:dLbl>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154857061182305"/>
              <c:y val="-9.259076990376202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CDABC5B-4918-4FDA-8A70-0BB2AC7C6961}" type="VALUE">
                  <a:rPr lang="en-US" sz="1200"/>
                  <a:pPr>
                    <a:defRPr sz="900" b="0" i="0" u="none" strike="noStrike" kern="1200" baseline="0">
                      <a:solidFill>
                        <a:schemeClr val="lt1">
                          <a:lumMod val="8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60421944772101"/>
                  <c:h val="0.14953703703703702"/>
                </c:manualLayout>
              </c15:layout>
              <c15:dlblFieldTable/>
              <c15:showDataLabelsRange val="0"/>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349082964356787"/>
              <c:y val="-2.77775955088947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357272437412726"/>
                  <c:h val="0.14953703703703702"/>
                </c:manualLayout>
              </c15:layout>
            </c:ext>
          </c:extLst>
        </c:dLbl>
      </c:pivotFmt>
      <c:pivotFmt>
        <c:idx val="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154857061182305"/>
              <c:y val="-9.259076990376202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CDABC5B-4918-4FDA-8A70-0BB2AC7C6961}" type="VALUE">
                  <a:rPr lang="en-US" sz="12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60421944772101"/>
                  <c:h val="0.14953703703703702"/>
                </c:manualLayout>
              </c15:layout>
              <c15:dlblFieldTable/>
              <c15:showDataLabelsRange val="0"/>
            </c:ext>
          </c:extLst>
        </c:dLbl>
      </c:pivotFmt>
    </c:pivotFmts>
    <c:plotArea>
      <c:layout/>
      <c:doughnutChart>
        <c:varyColors val="1"/>
        <c:ser>
          <c:idx val="0"/>
          <c:order val="0"/>
          <c:tx>
            <c:strRef>
              <c:f>'Group vs Solo Analysis'!$C$3</c:f>
              <c:strCache>
                <c:ptCount val="1"/>
                <c:pt idx="0">
                  <c:v>Total</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F45-42F9-9972-38735734AA99}"/>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F45-42F9-9972-38735734AA99}"/>
              </c:ext>
            </c:extLst>
          </c:dPt>
          <c:dLbls>
            <c:dLbl>
              <c:idx val="0"/>
              <c:layout>
                <c:manualLayout>
                  <c:x val="0.19349082964356787"/>
                  <c:y val="-2.77775955088947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357272437412726"/>
                      <c:h val="0.14953703703703702"/>
                    </c:manualLayout>
                  </c15:layout>
                </c:ext>
                <c:ext xmlns:c16="http://schemas.microsoft.com/office/drawing/2014/chart" uri="{C3380CC4-5D6E-409C-BE32-E72D297353CC}">
                  <c16:uniqueId val="{00000001-7F45-42F9-9972-38735734AA99}"/>
                </c:ext>
              </c:extLst>
            </c:dLbl>
            <c:dLbl>
              <c:idx val="1"/>
              <c:layout>
                <c:manualLayout>
                  <c:x val="-0.17154857061182305"/>
                  <c:y val="-9.2590769903762027E-3"/>
                </c:manualLayout>
              </c:layout>
              <c:tx>
                <c:rich>
                  <a:bodyPr/>
                  <a:lstStyle/>
                  <a:p>
                    <a:fld id="{4CDABC5B-4918-4FDA-8A70-0BB2AC7C6961}" type="VALUE">
                      <a:rPr lang="en-US" sz="1200"/>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24160421944772101"/>
                      <c:h val="0.14953703703703702"/>
                    </c:manualLayout>
                  </c15:layout>
                  <c15:dlblFieldTable/>
                  <c15:showDataLabelsRange val="0"/>
                </c:ext>
                <c:ext xmlns:c16="http://schemas.microsoft.com/office/drawing/2014/chart" uri="{C3380CC4-5D6E-409C-BE32-E72D297353CC}">
                  <c16:uniqueId val="{00000003-7F45-42F9-9972-38735734AA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'Group vs Solo Analysis'!$B$4:$B$6</c:f>
              <c:strCache>
                <c:ptCount val="2"/>
                <c:pt idx="0">
                  <c:v>Group</c:v>
                </c:pt>
                <c:pt idx="1">
                  <c:v>Solo</c:v>
                </c:pt>
              </c:strCache>
            </c:strRef>
          </c:cat>
          <c:val>
            <c:numRef>
              <c:f>'Group vs Solo Analysis'!$C$4:$C$6</c:f>
              <c:numCache>
                <c:formatCode>General</c:formatCode>
                <c:ptCount val="2"/>
                <c:pt idx="0">
                  <c:v>1687846.899999999</c:v>
                </c:pt>
                <c:pt idx="1">
                  <c:v>6720958.1999999983</c:v>
                </c:pt>
              </c:numCache>
            </c:numRef>
          </c:val>
          <c:extLst>
            <c:ext xmlns:c16="http://schemas.microsoft.com/office/drawing/2014/chart" uri="{C3380CC4-5D6E-409C-BE32-E72D297353CC}">
              <c16:uniqueId val="{00000004-7F45-42F9-9972-38735734AA9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Streaming Performance Dataset.csv.xlsx]Year Analysis!no of artists debuted in a year</c:name>
    <c:fmtId val="36"/>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Analysis'!$B$1</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'Year Analysis'!$A$2:$A$63</c:f>
              <c:strCache>
                <c:ptCount val="61"/>
                <c:pt idx="0">
                  <c:v>1939</c:v>
                </c:pt>
                <c:pt idx="1">
                  <c:v>1949</c:v>
                </c:pt>
                <c:pt idx="2">
                  <c:v>1954</c:v>
                </c:pt>
                <c:pt idx="3">
                  <c:v>1955</c:v>
                </c:pt>
                <c:pt idx="4">
                  <c:v>1962</c:v>
                </c:pt>
                <c:pt idx="5">
                  <c:v>1963</c:v>
                </c:pt>
                <c:pt idx="6">
                  <c:v>1964</c:v>
                </c:pt>
                <c:pt idx="7">
                  <c:v>1966</c:v>
                </c:pt>
                <c:pt idx="8">
                  <c:v>1967</c:v>
                </c:pt>
                <c:pt idx="9">
                  <c:v>1968</c:v>
                </c:pt>
                <c:pt idx="10">
                  <c:v>1969</c:v>
                </c:pt>
                <c:pt idx="11">
                  <c:v>1971</c:v>
                </c:pt>
                <c:pt idx="12">
                  <c:v>1972</c:v>
                </c:pt>
                <c:pt idx="13">
                  <c:v>1973</c:v>
                </c:pt>
                <c:pt idx="14">
                  <c:v>1975</c:v>
                </c:pt>
                <c:pt idx="15">
                  <c:v>1977</c:v>
                </c:pt>
                <c:pt idx="16">
                  <c:v>1978</c:v>
                </c:pt>
                <c:pt idx="17">
                  <c:v>1979</c:v>
                </c:pt>
                <c:pt idx="18">
                  <c:v>1980</c:v>
                </c:pt>
                <c:pt idx="19">
                  <c:v>1981</c:v>
                </c:pt>
                <c:pt idx="20">
                  <c:v>1982</c:v>
                </c:pt>
                <c:pt idx="21">
                  <c:v>1983</c:v>
                </c:pt>
                <c:pt idx="22">
                  <c:v>1984</c:v>
                </c:pt>
                <c:pt idx="23">
                  <c:v>1985</c:v>
                </c:pt>
                <c:pt idx="24">
                  <c:v>1987</c:v>
                </c:pt>
                <c:pt idx="25">
                  <c:v>1988</c:v>
                </c:pt>
                <c:pt idx="26">
                  <c:v>1989</c:v>
                </c:pt>
                <c:pt idx="27">
                  <c:v>1990</c:v>
                </c:pt>
                <c:pt idx="28">
                  <c:v>1991</c:v>
                </c:pt>
                <c:pt idx="29">
                  <c:v>1992</c:v>
                </c:pt>
                <c:pt idx="30">
                  <c:v>1993</c:v>
                </c:pt>
                <c:pt idx="31">
                  <c:v>1994</c:v>
                </c:pt>
                <c:pt idx="32">
                  <c:v>1995</c:v>
                </c:pt>
                <c:pt idx="33">
                  <c:v>1996</c:v>
                </c:pt>
                <c:pt idx="34">
                  <c:v>1997</c:v>
                </c:pt>
                <c:pt idx="35">
                  <c:v>1998</c:v>
                </c:pt>
                <c:pt idx="36">
                  <c:v>1999</c:v>
                </c:pt>
                <c:pt idx="37">
                  <c:v>2000</c:v>
                </c:pt>
                <c:pt idx="38">
                  <c:v>2001</c:v>
                </c:pt>
                <c:pt idx="39">
                  <c:v>2002</c:v>
                </c:pt>
                <c:pt idx="40">
                  <c:v>2003</c:v>
                </c:pt>
                <c:pt idx="41">
                  <c:v>2004</c:v>
                </c:pt>
                <c:pt idx="42">
                  <c:v>2005</c:v>
                </c:pt>
                <c:pt idx="43">
                  <c:v>2006</c:v>
                </c:pt>
                <c:pt idx="44">
                  <c:v>2007</c:v>
                </c:pt>
                <c:pt idx="45">
                  <c:v>2008</c:v>
                </c:pt>
                <c:pt idx="46">
                  <c:v>2009</c:v>
                </c:pt>
                <c:pt idx="47">
                  <c:v>2010</c:v>
                </c:pt>
                <c:pt idx="48">
                  <c:v>2011</c:v>
                </c:pt>
                <c:pt idx="49">
                  <c:v>2012</c:v>
                </c:pt>
                <c:pt idx="50">
                  <c:v>2013</c:v>
                </c:pt>
                <c:pt idx="51">
                  <c:v>2014</c:v>
                </c:pt>
                <c:pt idx="52">
                  <c:v>2015</c:v>
                </c:pt>
                <c:pt idx="53">
                  <c:v>2016</c:v>
                </c:pt>
                <c:pt idx="54">
                  <c:v>2017</c:v>
                </c:pt>
                <c:pt idx="55">
                  <c:v>2018</c:v>
                </c:pt>
                <c:pt idx="56">
                  <c:v>2019</c:v>
                </c:pt>
                <c:pt idx="57">
                  <c:v>2020</c:v>
                </c:pt>
                <c:pt idx="58">
                  <c:v>2021</c:v>
                </c:pt>
                <c:pt idx="59">
                  <c:v>2022</c:v>
                </c:pt>
                <c:pt idx="60">
                  <c:v>2023</c:v>
                </c:pt>
              </c:strCache>
            </c:strRef>
          </c:cat>
          <c:val>
            <c:numRef>
              <c:f>'Year Analysis'!$B$2:$B$63</c:f>
              <c:numCache>
                <c:formatCode>General</c:formatCode>
                <c:ptCount val="61"/>
                <c:pt idx="0">
                  <c:v>1</c:v>
                </c:pt>
                <c:pt idx="1">
                  <c:v>1</c:v>
                </c:pt>
                <c:pt idx="2">
                  <c:v>1</c:v>
                </c:pt>
                <c:pt idx="3">
                  <c:v>1</c:v>
                </c:pt>
                <c:pt idx="4">
                  <c:v>3</c:v>
                </c:pt>
                <c:pt idx="5">
                  <c:v>1</c:v>
                </c:pt>
                <c:pt idx="6">
                  <c:v>2</c:v>
                </c:pt>
                <c:pt idx="7">
                  <c:v>1</c:v>
                </c:pt>
                <c:pt idx="8">
                  <c:v>3</c:v>
                </c:pt>
                <c:pt idx="9">
                  <c:v>1</c:v>
                </c:pt>
                <c:pt idx="10">
                  <c:v>2</c:v>
                </c:pt>
                <c:pt idx="11">
                  <c:v>2</c:v>
                </c:pt>
                <c:pt idx="12">
                  <c:v>2</c:v>
                </c:pt>
                <c:pt idx="13">
                  <c:v>3</c:v>
                </c:pt>
                <c:pt idx="14">
                  <c:v>2</c:v>
                </c:pt>
                <c:pt idx="15">
                  <c:v>3</c:v>
                </c:pt>
                <c:pt idx="16">
                  <c:v>1</c:v>
                </c:pt>
                <c:pt idx="17">
                  <c:v>3</c:v>
                </c:pt>
                <c:pt idx="18">
                  <c:v>4</c:v>
                </c:pt>
                <c:pt idx="19">
                  <c:v>2</c:v>
                </c:pt>
                <c:pt idx="20">
                  <c:v>3</c:v>
                </c:pt>
                <c:pt idx="21">
                  <c:v>2</c:v>
                </c:pt>
                <c:pt idx="22">
                  <c:v>3</c:v>
                </c:pt>
                <c:pt idx="23">
                  <c:v>3</c:v>
                </c:pt>
                <c:pt idx="24">
                  <c:v>1</c:v>
                </c:pt>
                <c:pt idx="25">
                  <c:v>2</c:v>
                </c:pt>
                <c:pt idx="26">
                  <c:v>3</c:v>
                </c:pt>
                <c:pt idx="27">
                  <c:v>3</c:v>
                </c:pt>
                <c:pt idx="28">
                  <c:v>5</c:v>
                </c:pt>
                <c:pt idx="29">
                  <c:v>4</c:v>
                </c:pt>
                <c:pt idx="30">
                  <c:v>2</c:v>
                </c:pt>
                <c:pt idx="31">
                  <c:v>6</c:v>
                </c:pt>
                <c:pt idx="32">
                  <c:v>5</c:v>
                </c:pt>
                <c:pt idx="33">
                  <c:v>6</c:v>
                </c:pt>
                <c:pt idx="34">
                  <c:v>6</c:v>
                </c:pt>
                <c:pt idx="35">
                  <c:v>5</c:v>
                </c:pt>
                <c:pt idx="36">
                  <c:v>10</c:v>
                </c:pt>
                <c:pt idx="37">
                  <c:v>8</c:v>
                </c:pt>
                <c:pt idx="38">
                  <c:v>9</c:v>
                </c:pt>
                <c:pt idx="39">
                  <c:v>12</c:v>
                </c:pt>
                <c:pt idx="40">
                  <c:v>12</c:v>
                </c:pt>
                <c:pt idx="41">
                  <c:v>13</c:v>
                </c:pt>
                <c:pt idx="42">
                  <c:v>9</c:v>
                </c:pt>
                <c:pt idx="43">
                  <c:v>21</c:v>
                </c:pt>
                <c:pt idx="44">
                  <c:v>18</c:v>
                </c:pt>
                <c:pt idx="45">
                  <c:v>20</c:v>
                </c:pt>
                <c:pt idx="46">
                  <c:v>24</c:v>
                </c:pt>
                <c:pt idx="47">
                  <c:v>28</c:v>
                </c:pt>
                <c:pt idx="48">
                  <c:v>22</c:v>
                </c:pt>
                <c:pt idx="49">
                  <c:v>27</c:v>
                </c:pt>
                <c:pt idx="50">
                  <c:v>24</c:v>
                </c:pt>
                <c:pt idx="51">
                  <c:v>32</c:v>
                </c:pt>
                <c:pt idx="52">
                  <c:v>29</c:v>
                </c:pt>
                <c:pt idx="53">
                  <c:v>17</c:v>
                </c:pt>
                <c:pt idx="54">
                  <c:v>28</c:v>
                </c:pt>
                <c:pt idx="55">
                  <c:v>14</c:v>
                </c:pt>
                <c:pt idx="56">
                  <c:v>11</c:v>
                </c:pt>
                <c:pt idx="57">
                  <c:v>6</c:v>
                </c:pt>
                <c:pt idx="58">
                  <c:v>4</c:v>
                </c:pt>
                <c:pt idx="59">
                  <c:v>2</c:v>
                </c:pt>
                <c:pt idx="60">
                  <c:v>2</c:v>
                </c:pt>
              </c:numCache>
            </c:numRef>
          </c:val>
          <c:smooth val="0"/>
          <c:extLst>
            <c:ext xmlns:c16="http://schemas.microsoft.com/office/drawing/2014/chart" uri="{C3380CC4-5D6E-409C-BE32-E72D297353CC}">
              <c16:uniqueId val="{00000000-3C9B-41B2-989E-A2A3060D7E7E}"/>
            </c:ext>
          </c:extLst>
        </c:ser>
        <c:dLbls>
          <c:showLegendKey val="0"/>
          <c:showVal val="0"/>
          <c:showCatName val="0"/>
          <c:showSerName val="0"/>
          <c:showPercent val="0"/>
          <c:showBubbleSize val="0"/>
        </c:dLbls>
        <c:marker val="1"/>
        <c:smooth val="0"/>
        <c:axId val="757254991"/>
        <c:axId val="714563823"/>
      </c:lineChart>
      <c:catAx>
        <c:axId val="7572549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4563823"/>
        <c:crosses val="autoZero"/>
        <c:auto val="1"/>
        <c:lblAlgn val="ctr"/>
        <c:lblOffset val="100"/>
        <c:noMultiLvlLbl val="0"/>
      </c:catAx>
      <c:valAx>
        <c:axId val="7145638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725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Streaming Performance Dataset.csv.xlsx]Language based analysis!Language</c:name>
    <c:fmtId val="3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Stream Per</a:t>
            </a:r>
            <a:r>
              <a:rPr lang="en-US" baseline="0"/>
              <a:t> Language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42000"/>
                  <a:satMod val="103000"/>
                  <a:lumMod val="102000"/>
                  <a:tint val="94000"/>
                </a:schemeClr>
              </a:gs>
              <a:gs pos="50000">
                <a:schemeClr val="accent6">
                  <a:tint val="42000"/>
                  <a:satMod val="110000"/>
                  <a:lumMod val="100000"/>
                  <a:shade val="100000"/>
                </a:schemeClr>
              </a:gs>
              <a:gs pos="100000">
                <a:schemeClr val="accent6">
                  <a:tint val="42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8051531193946299E-2"/>
              <c:y val="-8.2250255833788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88000"/>
                  <a:satMod val="103000"/>
                  <a:lumMod val="102000"/>
                  <a:tint val="94000"/>
                </a:schemeClr>
              </a:gs>
              <a:gs pos="50000">
                <a:schemeClr val="accent6">
                  <a:shade val="88000"/>
                  <a:satMod val="110000"/>
                  <a:lumMod val="100000"/>
                  <a:shade val="100000"/>
                </a:schemeClr>
              </a:gs>
              <a:gs pos="100000">
                <a:schemeClr val="accent6">
                  <a:shade val="8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1965235970813196E-4"/>
              <c:y val="-0.131037697897370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41000"/>
                  <a:satMod val="103000"/>
                  <a:lumMod val="102000"/>
                  <a:tint val="94000"/>
                </a:schemeClr>
              </a:gs>
              <a:gs pos="50000">
                <a:schemeClr val="accent6">
                  <a:shade val="41000"/>
                  <a:satMod val="110000"/>
                  <a:lumMod val="100000"/>
                  <a:shade val="100000"/>
                </a:schemeClr>
              </a:gs>
              <a:gs pos="100000">
                <a:schemeClr val="accent6">
                  <a:shade val="41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396458723161845E-3"/>
              <c:y val="-0.115819854777626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1965235970813196E-4"/>
              <c:y val="-0.131037697897370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6">
                  <a:tint val="42000"/>
                  <a:satMod val="103000"/>
                  <a:lumMod val="102000"/>
                  <a:tint val="94000"/>
                </a:schemeClr>
              </a:gs>
              <a:gs pos="50000">
                <a:schemeClr val="accent6">
                  <a:tint val="42000"/>
                  <a:satMod val="110000"/>
                  <a:lumMod val="100000"/>
                  <a:shade val="100000"/>
                </a:schemeClr>
              </a:gs>
              <a:gs pos="100000">
                <a:schemeClr val="accent6">
                  <a:tint val="42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6">
                  <a:shade val="88000"/>
                  <a:satMod val="103000"/>
                  <a:lumMod val="102000"/>
                  <a:tint val="94000"/>
                </a:schemeClr>
              </a:gs>
              <a:gs pos="50000">
                <a:schemeClr val="accent6">
                  <a:shade val="88000"/>
                  <a:satMod val="110000"/>
                  <a:lumMod val="100000"/>
                  <a:shade val="100000"/>
                </a:schemeClr>
              </a:gs>
              <a:gs pos="100000">
                <a:schemeClr val="accent6">
                  <a:shade val="8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'Language based analysis'!$B$1</c:f>
              <c:strCache>
                <c:ptCount val="1"/>
                <c:pt idx="0">
                  <c:v>Total</c:v>
                </c:pt>
              </c:strCache>
            </c:strRef>
          </c:tx>
          <c:explosion val="18"/>
          <c:dPt>
            <c:idx val="0"/>
            <c:bubble3D val="0"/>
            <c:explosion val="38"/>
            <c:spPr>
              <a:gradFill rotWithShape="1">
                <a:gsLst>
                  <a:gs pos="0">
                    <a:schemeClr val="accent6">
                      <a:tint val="42000"/>
                      <a:satMod val="103000"/>
                      <a:lumMod val="102000"/>
                      <a:tint val="94000"/>
                    </a:schemeClr>
                  </a:gs>
                  <a:gs pos="50000">
                    <a:schemeClr val="accent6">
                      <a:tint val="42000"/>
                      <a:satMod val="110000"/>
                      <a:lumMod val="100000"/>
                      <a:shade val="100000"/>
                    </a:schemeClr>
                  </a:gs>
                  <a:gs pos="100000">
                    <a:schemeClr val="accent6">
                      <a:tint val="42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41A2-4C32-B6DD-4FE7701DA547}"/>
              </c:ext>
            </c:extLst>
          </c:dPt>
          <c:dPt>
            <c:idx val="1"/>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41A2-4C32-B6DD-4FE7701DA547}"/>
              </c:ext>
            </c:extLst>
          </c:dPt>
          <c:dPt>
            <c:idx val="2"/>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906-4B46-8E42-4A48CF9F0DB4}"/>
              </c:ext>
            </c:extLst>
          </c:dPt>
          <c:dPt>
            <c:idx val="3"/>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906-4B46-8E42-4A48CF9F0DB4}"/>
              </c:ext>
            </c:extLst>
          </c:dPt>
          <c:dPt>
            <c:idx val="4"/>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906-4B46-8E42-4A48CF9F0DB4}"/>
              </c:ext>
            </c:extLst>
          </c:dPt>
          <c:dPt>
            <c:idx val="5"/>
            <c:bubble3D val="0"/>
            <c:spPr>
              <a:gradFill rotWithShape="1">
                <a:gsLst>
                  <a:gs pos="0">
                    <a:schemeClr val="accent6">
                      <a:tint val="42000"/>
                      <a:satMod val="103000"/>
                      <a:lumMod val="102000"/>
                      <a:tint val="94000"/>
                    </a:schemeClr>
                  </a:gs>
                  <a:gs pos="50000">
                    <a:schemeClr val="accent6">
                      <a:tint val="42000"/>
                      <a:satMod val="110000"/>
                      <a:lumMod val="100000"/>
                      <a:shade val="100000"/>
                    </a:schemeClr>
                  </a:gs>
                  <a:gs pos="100000">
                    <a:schemeClr val="accent6">
                      <a:tint val="42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8906-4B46-8E42-4A48CF9F0DB4}"/>
              </c:ext>
            </c:extLst>
          </c:dPt>
          <c:dPt>
            <c:idx val="6"/>
            <c:bubble3D val="0"/>
            <c:spPr>
              <a:gradFill rotWithShape="1">
                <a:gsLst>
                  <a:gs pos="0">
                    <a:schemeClr val="accent6">
                      <a:shade val="88000"/>
                      <a:satMod val="103000"/>
                      <a:lumMod val="102000"/>
                      <a:tint val="94000"/>
                    </a:schemeClr>
                  </a:gs>
                  <a:gs pos="50000">
                    <a:schemeClr val="accent6">
                      <a:shade val="88000"/>
                      <a:satMod val="110000"/>
                      <a:lumMod val="100000"/>
                      <a:shade val="100000"/>
                    </a:schemeClr>
                  </a:gs>
                  <a:gs pos="100000">
                    <a:schemeClr val="accent6">
                      <a:shade val="8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8906-4B46-8E42-4A48CF9F0DB4}"/>
              </c:ext>
            </c:extLst>
          </c:dPt>
          <c:dPt>
            <c:idx val="7"/>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8906-4B46-8E42-4A48CF9F0DB4}"/>
              </c:ext>
            </c:extLst>
          </c:dPt>
          <c:dPt>
            <c:idx val="8"/>
            <c:bubble3D val="0"/>
            <c:spPr>
              <a:gradFill rotWithShape="1">
                <a:gsLst>
                  <a:gs pos="0">
                    <a:schemeClr val="accent6">
                      <a:shade val="88000"/>
                      <a:satMod val="103000"/>
                      <a:lumMod val="102000"/>
                      <a:tint val="94000"/>
                    </a:schemeClr>
                  </a:gs>
                  <a:gs pos="50000">
                    <a:schemeClr val="accent6">
                      <a:shade val="88000"/>
                      <a:satMod val="110000"/>
                      <a:lumMod val="100000"/>
                      <a:shade val="100000"/>
                    </a:schemeClr>
                  </a:gs>
                  <a:gs pos="100000">
                    <a:schemeClr val="accent6">
                      <a:shade val="8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1A2-4C32-B6DD-4FE7701DA547}"/>
              </c:ext>
            </c:extLst>
          </c:dPt>
          <c:dPt>
            <c:idx val="9"/>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41A2-4C32-B6DD-4FE7701DA547}"/>
              </c:ext>
            </c:extLst>
          </c:dPt>
          <c:dPt>
            <c:idx val="10"/>
            <c:bubble3D val="0"/>
            <c:spPr>
              <a:gradFill rotWithShape="1">
                <a:gsLst>
                  <a:gs pos="0">
                    <a:schemeClr val="accent6">
                      <a:shade val="41000"/>
                      <a:satMod val="103000"/>
                      <a:lumMod val="102000"/>
                      <a:tint val="94000"/>
                    </a:schemeClr>
                  </a:gs>
                  <a:gs pos="50000">
                    <a:schemeClr val="accent6">
                      <a:shade val="41000"/>
                      <a:satMod val="110000"/>
                      <a:lumMod val="100000"/>
                      <a:shade val="100000"/>
                    </a:schemeClr>
                  </a:gs>
                  <a:gs pos="100000">
                    <a:schemeClr val="accent6">
                      <a:shade val="41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1A2-4C32-B6DD-4FE7701DA547}"/>
              </c:ext>
            </c:extLst>
          </c:dPt>
          <c:dLbls>
            <c:dLbl>
              <c:idx val="0"/>
              <c:layout>
                <c:manualLayout>
                  <c:x val="1.8051531193946299E-2"/>
                  <c:y val="-8.22502558337887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1A2-4C32-B6DD-4FE7701DA547}"/>
                </c:ext>
              </c:extLst>
            </c:dLbl>
            <c:dLbl>
              <c:idx val="1"/>
              <c:layout>
                <c:manualLayout>
                  <c:x val="-9.1965235970813196E-4"/>
                  <c:y val="-0.1310376978973700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1A2-4C32-B6DD-4FE7701DA547}"/>
                </c:ext>
              </c:extLst>
            </c:dLbl>
            <c:dLbl>
              <c:idx val="2"/>
              <c:layout>
                <c:manualLayout>
                  <c:x val="-9.1965235970813196E-4"/>
                  <c:y val="-0.1310376978973700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06-4B46-8E42-4A48CF9F0DB4}"/>
                </c:ext>
              </c:extLst>
            </c:dLbl>
            <c:dLbl>
              <c:idx val="10"/>
              <c:layout>
                <c:manualLayout>
                  <c:x val="5.4396458723161845E-3"/>
                  <c:y val="-0.1158198547776260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1A2-4C32-B6DD-4FE7701DA5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'Language based analysis'!$A$2:$A$13</c:f>
              <c:strCache>
                <c:ptCount val="11"/>
                <c:pt idx="0">
                  <c:v>English</c:v>
                </c:pt>
                <c:pt idx="1">
                  <c:v>French</c:v>
                </c:pt>
                <c:pt idx="2">
                  <c:v>German</c:v>
                </c:pt>
                <c:pt idx="3">
                  <c:v>Hindi</c:v>
                </c:pt>
                <c:pt idx="4">
                  <c:v>Italian</c:v>
                </c:pt>
                <c:pt idx="5">
                  <c:v>Korean</c:v>
                </c:pt>
                <c:pt idx="6">
                  <c:v>Portuguese</c:v>
                </c:pt>
                <c:pt idx="7">
                  <c:v>Punjabi</c:v>
                </c:pt>
                <c:pt idx="8">
                  <c:v>Spanish</c:v>
                </c:pt>
                <c:pt idx="9">
                  <c:v>Tamil</c:v>
                </c:pt>
                <c:pt idx="10">
                  <c:v>Urdu</c:v>
                </c:pt>
              </c:strCache>
            </c:strRef>
          </c:cat>
          <c:val>
            <c:numRef>
              <c:f>'Language based analysis'!$B$2:$B$13</c:f>
              <c:numCache>
                <c:formatCode>General</c:formatCode>
                <c:ptCount val="11"/>
                <c:pt idx="0">
                  <c:v>6055232.700000002</c:v>
                </c:pt>
                <c:pt idx="1">
                  <c:v>41569.9</c:v>
                </c:pt>
                <c:pt idx="2">
                  <c:v>81201.2</c:v>
                </c:pt>
                <c:pt idx="3">
                  <c:v>157453.1</c:v>
                </c:pt>
                <c:pt idx="4">
                  <c:v>26576.399999999998</c:v>
                </c:pt>
                <c:pt idx="5">
                  <c:v>157338.70000000001</c:v>
                </c:pt>
                <c:pt idx="6">
                  <c:v>164438.99999999997</c:v>
                </c:pt>
                <c:pt idx="7">
                  <c:v>7550.3</c:v>
                </c:pt>
                <c:pt idx="8">
                  <c:v>1679371.0999999996</c:v>
                </c:pt>
                <c:pt idx="9">
                  <c:v>30138.199999999997</c:v>
                </c:pt>
                <c:pt idx="10">
                  <c:v>7934.5</c:v>
                </c:pt>
              </c:numCache>
            </c:numRef>
          </c:val>
          <c:extLst>
            <c:ext xmlns:c16="http://schemas.microsoft.com/office/drawing/2014/chart" uri="{C3380CC4-5D6E-409C-BE32-E72D297353CC}">
              <c16:uniqueId val="{00000000-41A2-4C32-B6DD-4FE7701DA54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Streaming Performance Dataset.csv.xlsx]Language based analysis!artist language</c:name>
    <c:fmtId val="4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Artists</a:t>
            </a:r>
            <a:r>
              <a:rPr lang="en-US" baseline="0"/>
              <a:t> Language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2AB03D"/>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'Language based analysis'!$B$16</c:f>
              <c:strCache>
                <c:ptCount val="1"/>
                <c:pt idx="0">
                  <c:v>Total</c:v>
                </c:pt>
              </c:strCache>
            </c:strRef>
          </c:tx>
          <c:spPr>
            <a:solidFill>
              <a:srgbClr val="2AB03D"/>
            </a:solidFill>
            <a:ln>
              <a:noFill/>
            </a:ln>
            <a:effectLst>
              <a:outerShdw blurRad="57150" dist="19050" dir="5400000" algn="ctr" rotWithShape="0">
                <a:srgbClr val="000000">
                  <a:alpha val="63000"/>
                </a:srgbClr>
              </a:outerShdw>
            </a:effectLst>
          </c:spPr>
          <c:invertIfNegative val="0"/>
          <c:cat>
            <c:strRef>
              <c:f>'Language based analysis'!$A$17:$A$517</c:f>
              <c:strCache>
                <c:ptCount val="500"/>
                <c:pt idx="0">
                  <c:v>Drake</c:v>
                </c:pt>
                <c:pt idx="1">
                  <c:v>Taylor Swift</c:v>
                </c:pt>
                <c:pt idx="2">
                  <c:v>Bad Bunny</c:v>
                </c:pt>
                <c:pt idx="3">
                  <c:v>The Weeknd</c:v>
                </c:pt>
                <c:pt idx="4">
                  <c:v>Justin Bieber</c:v>
                </c:pt>
                <c:pt idx="5">
                  <c:v>Ariana Grande</c:v>
                </c:pt>
                <c:pt idx="6">
                  <c:v>Travis Scott</c:v>
                </c:pt>
                <c:pt idx="7">
                  <c:v>Kanye West</c:v>
                </c:pt>
                <c:pt idx="8">
                  <c:v>Ed Sheeran</c:v>
                </c:pt>
                <c:pt idx="9">
                  <c:v>Eminem</c:v>
                </c:pt>
                <c:pt idx="10">
                  <c:v>Rihanna</c:v>
                </c:pt>
                <c:pt idx="11">
                  <c:v>Billie Eilish</c:v>
                </c:pt>
                <c:pt idx="12">
                  <c:v>Bruno Mars</c:v>
                </c:pt>
                <c:pt idx="13">
                  <c:v>Kendrick Lamar</c:v>
                </c:pt>
                <c:pt idx="14">
                  <c:v>Post Malone</c:v>
                </c:pt>
                <c:pt idx="15">
                  <c:v>J Balvin</c:v>
                </c:pt>
                <c:pt idx="16">
                  <c:v>Future</c:v>
                </c:pt>
                <c:pt idx="17">
                  <c:v>BTS</c:v>
                </c:pt>
                <c:pt idx="18">
                  <c:v>Ozuna</c:v>
                </c:pt>
                <c:pt idx="19">
                  <c:v>Coldplay</c:v>
                </c:pt>
                <c:pt idx="20">
                  <c:v>Juice WRLD</c:v>
                </c:pt>
                <c:pt idx="21">
                  <c:v>Chris Brown</c:v>
                </c:pt>
                <c:pt idx="22">
                  <c:v>Nicki Minaj</c:v>
                </c:pt>
                <c:pt idx="23">
                  <c:v>Lana Del Rey</c:v>
                </c:pt>
                <c:pt idx="24">
                  <c:v>David Guetta</c:v>
                </c:pt>
                <c:pt idx="25">
                  <c:v>Dua Lipa</c:v>
                </c:pt>
                <c:pt idx="26">
                  <c:v>Daddy Yankee</c:v>
                </c:pt>
                <c:pt idx="27">
                  <c:v>Rauw Alejandro</c:v>
                </c:pt>
                <c:pt idx="28">
                  <c:v>Anuel AA</c:v>
                </c:pt>
                <c:pt idx="29">
                  <c:v>XXXTENTACION</c:v>
                </c:pt>
                <c:pt idx="30">
                  <c:v>Imagine Dragons</c:v>
                </c:pt>
                <c:pt idx="31">
                  <c:v>Lil Wayne</c:v>
                </c:pt>
                <c:pt idx="32">
                  <c:v>21 Savage</c:v>
                </c:pt>
                <c:pt idx="33">
                  <c:v>SZA</c:v>
                </c:pt>
                <c:pt idx="34">
                  <c:v>Arijit Singh</c:v>
                </c:pt>
                <c:pt idx="35">
                  <c:v>Lady Gaga</c:v>
                </c:pt>
                <c:pt idx="36">
                  <c:v>KAROL G</c:v>
                </c:pt>
                <c:pt idx="37">
                  <c:v>Lil Baby</c:v>
                </c:pt>
                <c:pt idx="38">
                  <c:v>Maroon 5</c:v>
                </c:pt>
                <c:pt idx="39">
                  <c:v>Khalid</c:v>
                </c:pt>
                <c:pt idx="40">
                  <c:v>BeyoncÃ©</c:v>
                </c:pt>
                <c:pt idx="41">
                  <c:v>Maluma</c:v>
                </c:pt>
                <c:pt idx="42">
                  <c:v>Feid</c:v>
                </c:pt>
                <c:pt idx="43">
                  <c:v>Calvin Harris</c:v>
                </c:pt>
                <c:pt idx="44">
                  <c:v>Myke Towers</c:v>
                </c:pt>
                <c:pt idx="45">
                  <c:v>Linkin Park</c:v>
                </c:pt>
                <c:pt idx="46">
                  <c:v>Peso Pluma</c:v>
                </c:pt>
                <c:pt idx="47">
                  <c:v>J. Cole</c:v>
                </c:pt>
                <c:pt idx="48">
                  <c:v>Lil Uzi Vert</c:v>
                </c:pt>
                <c:pt idx="49">
                  <c:v>Sia</c:v>
                </c:pt>
                <c:pt idx="50">
                  <c:v>Doja Cat</c:v>
                </c:pt>
                <c:pt idx="51">
                  <c:v>Shakira</c:v>
                </c:pt>
                <c:pt idx="52">
                  <c:v>Morgan Wallen</c:v>
                </c:pt>
                <c:pt idx="53">
                  <c:v>Young Thug</c:v>
                </c:pt>
                <c:pt idx="54">
                  <c:v>Farruko</c:v>
                </c:pt>
                <c:pt idx="55">
                  <c:v>Shawn Mendes</c:v>
                </c:pt>
                <c:pt idx="56">
                  <c:v>Harry Styles</c:v>
                </c:pt>
                <c:pt idx="57">
                  <c:v>Queen</c:v>
                </c:pt>
                <c:pt idx="58">
                  <c:v>Sam Smith</c:v>
                </c:pt>
                <c:pt idx="59">
                  <c:v>One Direction</c:v>
                </c:pt>
                <c:pt idx="60">
                  <c:v>Metro Boomin</c:v>
                </c:pt>
                <c:pt idx="61">
                  <c:v>Olivia Rodrigo</c:v>
                </c:pt>
                <c:pt idx="62">
                  <c:v>Adele</c:v>
                </c:pt>
                <c:pt idx="63">
                  <c:v>Pritam</c:v>
                </c:pt>
                <c:pt idx="64">
                  <c:v>Katy Perry</c:v>
                </c:pt>
                <c:pt idx="65">
                  <c:v>Gunna</c:v>
                </c:pt>
                <c:pt idx="66">
                  <c:v>Arctic Monkeys</c:v>
                </c:pt>
                <c:pt idx="67">
                  <c:v>Fuerza Regida</c:v>
                </c:pt>
                <c:pt idx="68">
                  <c:v>Junior H</c:v>
                </c:pt>
                <c:pt idx="69">
                  <c:v>Tyler, The Creator</c:v>
                </c:pt>
                <c:pt idx="70">
                  <c:v>Selena Gomez</c:v>
                </c:pt>
                <c:pt idx="71">
                  <c:v>Ty Dolla $ign</c:v>
                </c:pt>
                <c:pt idx="72">
                  <c:v>The Beatles</c:v>
                </c:pt>
                <c:pt idx="73">
                  <c:v>Pitbull</c:v>
                </c:pt>
                <c:pt idx="74">
                  <c:v>Nicky Jam</c:v>
                </c:pt>
                <c:pt idx="75">
                  <c:v>Playboi Carti</c:v>
                </c:pt>
                <c:pt idx="76">
                  <c:v>Halsey</c:v>
                </c:pt>
                <c:pt idx="77">
                  <c:v>Wiz Khalifa</c:v>
                </c:pt>
                <c:pt idx="78">
                  <c:v>Michael Jackson</c:v>
                </c:pt>
                <c:pt idx="79">
                  <c:v>Sabrina Carpenter</c:v>
                </c:pt>
                <c:pt idx="80">
                  <c:v>Frank Ocean</c:v>
                </c:pt>
                <c:pt idx="81">
                  <c:v>Die drei ???</c:v>
                </c:pt>
                <c:pt idx="82">
                  <c:v>JAÅ¸-Z</c:v>
                </c:pt>
                <c:pt idx="83">
                  <c:v>A$AP Rocky</c:v>
                </c:pt>
                <c:pt idx="84">
                  <c:v>Miley Cyrus</c:v>
                </c:pt>
                <c:pt idx="85">
                  <c:v>The Chainsmokers</c:v>
                </c:pt>
                <c:pt idx="86">
                  <c:v>Marshmello</c:v>
                </c:pt>
                <c:pt idx="87">
                  <c:v>Cardi B</c:v>
                </c:pt>
                <c:pt idx="88">
                  <c:v>Twenty One Pilots</c:v>
                </c:pt>
                <c:pt idx="89">
                  <c:v>Disney</c:v>
                </c:pt>
                <c:pt idx="90">
                  <c:v>ArcÃ¡ngel</c:v>
                </c:pt>
                <c:pt idx="91">
                  <c:v>Red Hot Chili Peppers</c:v>
                </c:pt>
                <c:pt idx="92">
                  <c:v>Camila Cabello</c:v>
                </c:pt>
                <c:pt idx="93">
                  <c:v>$uicideboy$</c:v>
                </c:pt>
                <c:pt idx="94">
                  <c:v>OneRepublic</c:v>
                </c:pt>
                <c:pt idx="95">
                  <c:v>Avicii</c:v>
                </c:pt>
                <c:pt idx="96">
                  <c:v>Diplo</c:v>
                </c:pt>
                <c:pt idx="97">
                  <c:v>Snoop Dogg</c:v>
                </c:pt>
                <c:pt idx="98">
                  <c:v>Romeo Santos</c:v>
                </c:pt>
                <c:pt idx="99">
                  <c:v>50 Cent</c:v>
                </c:pt>
                <c:pt idx="100">
                  <c:v>Natanael Cano</c:v>
                </c:pt>
                <c:pt idx="101">
                  <c:v>YoungBoy Never Broke Again</c:v>
                </c:pt>
                <c:pt idx="102">
                  <c:v>Mac Miller</c:v>
                </c:pt>
                <c:pt idx="103">
                  <c:v>DaBaby</c:v>
                </c:pt>
                <c:pt idx="104">
                  <c:v>Don Toliver</c:v>
                </c:pt>
                <c:pt idx="105">
                  <c:v>Zach Bryan</c:v>
                </c:pt>
                <c:pt idx="106">
                  <c:v>Kygo</c:v>
                </c:pt>
                <c:pt idx="107">
                  <c:v>Sech</c:v>
                </c:pt>
                <c:pt idx="108">
                  <c:v>The Neighbourhood</c:v>
                </c:pt>
                <c:pt idx="109">
                  <c:v>Quavo</c:v>
                </c:pt>
                <c:pt idx="110">
                  <c:v>Henrique &amp; Juliano</c:v>
                </c:pt>
                <c:pt idx="111">
                  <c:v>Luke Combs</c:v>
                </c:pt>
                <c:pt idx="112">
                  <c:v>Elton John</c:v>
                </c:pt>
                <c:pt idx="113">
                  <c:v>Manuel Turizo</c:v>
                </c:pt>
                <c:pt idx="114">
                  <c:v>Trippie Redd</c:v>
                </c:pt>
                <c:pt idx="115">
                  <c:v>Tate McRae</c:v>
                </c:pt>
                <c:pt idx="116">
                  <c:v>Lil Peep</c:v>
                </c:pt>
                <c:pt idx="117">
                  <c:v>Metallica</c:v>
                </c:pt>
                <c:pt idx="118">
                  <c:v>Don Omar</c:v>
                </c:pt>
                <c:pt idx="119">
                  <c:v>USHER</c:v>
                </c:pt>
                <c:pt idx="120">
                  <c:v>Charlie Puth</c:v>
                </c:pt>
                <c:pt idx="121">
                  <c:v>Justin Timberlake</c:v>
                </c:pt>
                <c:pt idx="122">
                  <c:v>TiÃ«sto</c:v>
                </c:pt>
                <c:pt idx="123">
                  <c:v>Sean Paul</c:v>
                </c:pt>
                <c:pt idx="124">
                  <c:v>Tyga</c:v>
                </c:pt>
                <c:pt idx="125">
                  <c:v>Kali Uchis</c:v>
                </c:pt>
                <c:pt idx="126">
                  <c:v>Kodak Black</c:v>
                </c:pt>
                <c:pt idx="127">
                  <c:v>Jason Derulo</c:v>
                </c:pt>
                <c:pt idx="128">
                  <c:v>BLACKPINK</c:v>
                </c:pt>
                <c:pt idx="129">
                  <c:v>JHAYCO</c:v>
                </c:pt>
                <c:pt idx="130">
                  <c:v>Bebe Rexha</c:v>
                </c:pt>
                <c:pt idx="131">
                  <c:v>Daft Punk</c:v>
                </c:pt>
                <c:pt idx="132">
                  <c:v>Luis Miguel</c:v>
                </c:pt>
                <c:pt idx="133">
                  <c:v>Demi Lovato</c:v>
                </c:pt>
                <c:pt idx="134">
                  <c:v>Akon</c:v>
                </c:pt>
                <c:pt idx="135">
                  <c:v>AC/DC</c:v>
                </c:pt>
                <c:pt idx="136">
                  <c:v>Sebastian Yatra</c:v>
                </c:pt>
                <c:pt idx="137">
                  <c:v>CarÃ­n LeÃ³n</c:v>
                </c:pt>
                <c:pt idx="138">
                  <c:v>Alan Walker</c:v>
                </c:pt>
                <c:pt idx="139">
                  <c:v>A Boogie Wit da Hoodie</c:v>
                </c:pt>
                <c:pt idx="140">
                  <c:v>Fleetwood Mac</c:v>
                </c:pt>
                <c:pt idx="141">
                  <c:v>Hozier</c:v>
                </c:pt>
                <c:pt idx="142">
                  <c:v>Ellie Goulding</c:v>
                </c:pt>
                <c:pt idx="143">
                  <c:v>Radiohead</c:v>
                </c:pt>
                <c:pt idx="144">
                  <c:v>Big Sean</c:v>
                </c:pt>
                <c:pt idx="145">
                  <c:v>Flo Rida</c:v>
                </c:pt>
                <c:pt idx="146">
                  <c:v>P!nk</c:v>
                </c:pt>
                <c:pt idx="147">
                  <c:v>Nirvana</c:v>
                </c:pt>
                <c:pt idx="148">
                  <c:v>Pop Smoke</c:v>
                </c:pt>
                <c:pt idx="149">
                  <c:v>Britney Spears</c:v>
                </c:pt>
                <c:pt idx="150">
                  <c:v>James Arthur</c:v>
                </c:pt>
                <c:pt idx="151">
                  <c:v>Tory Lanez</c:v>
                </c:pt>
                <c:pt idx="152">
                  <c:v>Pharrell Williams</c:v>
                </c:pt>
                <c:pt idx="153">
                  <c:v>DJ Snake</c:v>
                </c:pt>
                <c:pt idx="154">
                  <c:v>Daniel Caesar</c:v>
                </c:pt>
                <c:pt idx="155">
                  <c:v>Black Eyed Peas</c:v>
                </c:pt>
                <c:pt idx="156">
                  <c:v>Swae Lee</c:v>
                </c:pt>
                <c:pt idx="157">
                  <c:v>Shreya Ghoshal</c:v>
                </c:pt>
                <c:pt idx="158">
                  <c:v>Duki</c:v>
                </c:pt>
                <c:pt idx="159">
                  <c:v>Bizarrap</c:v>
                </c:pt>
                <c:pt idx="160">
                  <c:v>Migos</c:v>
                </c:pt>
                <c:pt idx="161">
                  <c:v>The Kid LAROI</c:v>
                </c:pt>
                <c:pt idx="162">
                  <c:v>MarÃ­lia MendonÃ§a</c:v>
                </c:pt>
                <c:pt idx="163">
                  <c:v>Anitta</c:v>
                </c:pt>
                <c:pt idx="164">
                  <c:v>Green Day</c:v>
                </c:pt>
                <c:pt idx="165">
                  <c:v>Lil Durk</c:v>
                </c:pt>
                <c:pt idx="166">
                  <c:v>Polo G</c:v>
                </c:pt>
                <c:pt idx="167">
                  <c:v>A.R. Rahman</c:v>
                </c:pt>
                <c:pt idx="168">
                  <c:v>G-Eazy</c:v>
                </c:pt>
                <c:pt idx="169">
                  <c:v>Kid Cudi</c:v>
                </c:pt>
                <c:pt idx="170">
                  <c:v>Justin Quiles</c:v>
                </c:pt>
                <c:pt idx="171">
                  <c:v>Bob Marley &amp; The Wailers</c:v>
                </c:pt>
                <c:pt idx="172">
                  <c:v>Stray Kids</c:v>
                </c:pt>
                <c:pt idx="173">
                  <c:v>Anirudh Ravichander</c:v>
                </c:pt>
                <c:pt idx="174">
                  <c:v>Ne-Yo</c:v>
                </c:pt>
                <c:pt idx="175">
                  <c:v>Gucci Mane</c:v>
                </c:pt>
                <c:pt idx="176">
                  <c:v>ROSALÃA</c:v>
                </c:pt>
                <c:pt idx="177">
                  <c:v>Charli xcx</c:v>
                </c:pt>
                <c:pt idx="178">
                  <c:v>Joji</c:v>
                </c:pt>
                <c:pt idx="179">
                  <c:v>Fall Out Boy</c:v>
                </c:pt>
                <c:pt idx="180">
                  <c:v>PARTYNEXTDOOR</c:v>
                </c:pt>
                <c:pt idx="181">
                  <c:v>Jorge &amp; Mateus</c:v>
                </c:pt>
                <c:pt idx="182">
                  <c:v>Offset</c:v>
                </c:pt>
                <c:pt idx="183">
                  <c:v>Panic! At The Disco</c:v>
                </c:pt>
                <c:pt idx="184">
                  <c:v>Tame Impala</c:v>
                </c:pt>
                <c:pt idx="185">
                  <c:v>Quevedo</c:v>
                </c:pt>
                <c:pt idx="186">
                  <c:v>Morat</c:v>
                </c:pt>
                <c:pt idx="187">
                  <c:v>Zara Larsson</c:v>
                </c:pt>
                <c:pt idx="188">
                  <c:v>Tito Double P</c:v>
                </c:pt>
                <c:pt idx="189">
                  <c:v>Jul</c:v>
                </c:pt>
                <c:pt idx="190">
                  <c:v>2Pac</c:v>
                </c:pt>
                <c:pt idx="191">
                  <c:v>Gorillaz</c:v>
                </c:pt>
                <c:pt idx="192">
                  <c:v>Lewis Capaldi</c:v>
                </c:pt>
                <c:pt idx="193">
                  <c:v>Grupo Frontera</c:v>
                </c:pt>
                <c:pt idx="194">
                  <c:v>Camilo</c:v>
                </c:pt>
                <c:pt idx="195">
                  <c:v>Lenny TavÃ¡rez</c:v>
                </c:pt>
                <c:pt idx="196">
                  <c:v>2 Chainz</c:v>
                </c:pt>
                <c:pt idx="197">
                  <c:v>NF</c:v>
                </c:pt>
                <c:pt idx="198">
                  <c:v>Bryson Tiller</c:v>
                </c:pt>
                <c:pt idx="199">
                  <c:v>Rels B</c:v>
                </c:pt>
                <c:pt idx="200">
                  <c:v>Roddy Ricch</c:v>
                </c:pt>
                <c:pt idx="201">
                  <c:v>Guns N' Roses</c:v>
                </c:pt>
                <c:pt idx="202">
                  <c:v>Mariah Carey</c:v>
                </c:pt>
                <c:pt idx="203">
                  <c:v>Noah Kahan</c:v>
                </c:pt>
                <c:pt idx="204">
                  <c:v>Megan Thee Stallion</c:v>
                </c:pt>
                <c:pt idx="205">
                  <c:v>Christian Nodal</c:v>
                </c:pt>
                <c:pt idx="206">
                  <c:v>Brent Faiyaz</c:v>
                </c:pt>
                <c:pt idx="207">
                  <c:v>Martin Garrix</c:v>
                </c:pt>
                <c:pt idx="208">
                  <c:v>Banda MS de Sergio LizÃ¡rraga</c:v>
                </c:pt>
                <c:pt idx="209">
                  <c:v>Pink Floyd</c:v>
                </c:pt>
                <c:pt idx="210">
                  <c:v>mgk</c:v>
                </c:pt>
                <c:pt idx="211">
                  <c:v>Wisin &amp; Yandel</c:v>
                </c:pt>
                <c:pt idx="212">
                  <c:v>Dr. Dre</c:v>
                </c:pt>
                <c:pt idx="213">
                  <c:v>Mora</c:v>
                </c:pt>
                <c:pt idx="214">
                  <c:v>Cigarettes After Sex</c:v>
                </c:pt>
                <c:pt idx="215">
                  <c:v>Childish Gambino</c:v>
                </c:pt>
                <c:pt idx="216">
                  <c:v>Wisin</c:v>
                </c:pt>
                <c:pt idx="217">
                  <c:v>Major Lazer</c:v>
                </c:pt>
                <c:pt idx="218">
                  <c:v>John Mayer</c:v>
                </c:pt>
                <c:pt idx="219">
                  <c:v>Miguel</c:v>
                </c:pt>
                <c:pt idx="220">
                  <c:v>Lil Nas X</c:v>
                </c:pt>
                <c:pt idx="221">
                  <c:v>System Of A Down</c:v>
                </c:pt>
                <c:pt idx="222">
                  <c:v>Logic</c:v>
                </c:pt>
                <c:pt idx="223">
                  <c:v>ABBA</c:v>
                </c:pt>
                <c:pt idx="224">
                  <c:v>Becky G</c:v>
                </c:pt>
                <c:pt idx="225">
                  <c:v>Yandel</c:v>
                </c:pt>
                <c:pt idx="226">
                  <c:v>Enrique Iglesias</c:v>
                </c:pt>
                <c:pt idx="227">
                  <c:v>Lil Yachty</c:v>
                </c:pt>
                <c:pt idx="228">
                  <c:v>Luis R Conriquez</c:v>
                </c:pt>
                <c:pt idx="229">
                  <c:v>Zion &amp; Lennox</c:v>
                </c:pt>
                <c:pt idx="230">
                  <c:v>5 Seconds of Summer</c:v>
                </c:pt>
                <c:pt idx="231">
                  <c:v>Jack Harlow</c:v>
                </c:pt>
                <c:pt idx="232">
                  <c:v>TWICE</c:v>
                </c:pt>
                <c:pt idx="233">
                  <c:v>Ã‘engo Flow</c:v>
                </c:pt>
                <c:pt idx="234">
                  <c:v>Ava Max</c:v>
                </c:pt>
                <c:pt idx="235">
                  <c:v>ZAYN</c:v>
                </c:pt>
                <c:pt idx="236">
                  <c:v>Michael BublÃ©</c:v>
                </c:pt>
                <c:pt idx="237">
                  <c:v>Macklemore</c:v>
                </c:pt>
                <c:pt idx="238">
                  <c:v>Anne-Marie</c:v>
                </c:pt>
                <c:pt idx="239">
                  <c:v>The Rolling Stones</c:v>
                </c:pt>
                <c:pt idx="240">
                  <c:v>Frank Sinatra</c:v>
                </c:pt>
                <c:pt idx="241">
                  <c:v>Robin Schulz</c:v>
                </c:pt>
                <c:pt idx="242">
                  <c:v>Bryant Myers</c:v>
                </c:pt>
                <c:pt idx="243">
                  <c:v>Gusttavo Lima</c:v>
                </c:pt>
                <c:pt idx="244">
                  <c:v>Eladio Carrion</c:v>
                </c:pt>
                <c:pt idx="245">
                  <c:v>Grupo Firme</c:v>
                </c:pt>
                <c:pt idx="246">
                  <c:v>Amitabh Bhattacharya</c:v>
                </c:pt>
                <c:pt idx="247">
                  <c:v>Alicia Keys</c:v>
                </c:pt>
                <c:pt idx="248">
                  <c:v>Kesha</c:v>
                </c:pt>
                <c:pt idx="249">
                  <c:v>LAUV</c:v>
                </c:pt>
                <c:pt idx="250">
                  <c:v>Madonna</c:v>
                </c:pt>
                <c:pt idx="251">
                  <c:v>Reik</c:v>
                </c:pt>
                <c:pt idx="252">
                  <c:v>John Legend</c:v>
                </c:pt>
                <c:pt idx="253">
                  <c:v>Meghan Trainor</c:v>
                </c:pt>
                <c:pt idx="254">
                  <c:v>Lil Tecca</c:v>
                </c:pt>
                <c:pt idx="255">
                  <c:v>Lorde</c:v>
                </c:pt>
                <c:pt idx="256">
                  <c:v>MC Ryan SP</c:v>
                </c:pt>
                <c:pt idx="257">
                  <c:v>Chris Stapleton</c:v>
                </c:pt>
                <c:pt idx="258">
                  <c:v>French Montana</c:v>
                </c:pt>
                <c:pt idx="259">
                  <c:v>Melanie Martinez</c:v>
                </c:pt>
                <c:pt idx="260">
                  <c:v>Elvis Presley</c:v>
                </c:pt>
                <c:pt idx="261">
                  <c:v>Rick Ross</c:v>
                </c:pt>
                <c:pt idx="262">
                  <c:v>Cris MJ</c:v>
                </c:pt>
                <c:pt idx="263">
                  <c:v>Zedd</c:v>
                </c:pt>
                <c:pt idx="264">
                  <c:v>Paramore</c:v>
                </c:pt>
                <c:pt idx="265">
                  <c:v>Chance the Rapper</c:v>
                </c:pt>
                <c:pt idx="266">
                  <c:v>Ninho</c:v>
                </c:pt>
                <c:pt idx="267">
                  <c:v>blackbear</c:v>
                </c:pt>
                <c:pt idx="268">
                  <c:v>Creedence Clearwater Revival</c:v>
                </c:pt>
                <c:pt idx="269">
                  <c:v>T-Pain</c:v>
                </c:pt>
                <c:pt idx="270">
                  <c:v>Jung Kook</c:v>
                </c:pt>
                <c:pt idx="271">
                  <c:v>Skrillex</c:v>
                </c:pt>
                <c:pt idx="272">
                  <c:v>DJ Khaled</c:v>
                </c:pt>
                <c:pt idx="273">
                  <c:v>Wizkid</c:v>
                </c:pt>
                <c:pt idx="274">
                  <c:v>Oasis</c:v>
                </c:pt>
                <c:pt idx="275">
                  <c:v>Christina Aguilera</c:v>
                </c:pt>
                <c:pt idx="276">
                  <c:v>Slipknot</c:v>
                </c:pt>
                <c:pt idx="277">
                  <c:v>Irshad Kamil</c:v>
                </c:pt>
                <c:pt idx="278">
                  <c:v>Little Mix</c:v>
                </c:pt>
                <c:pt idx="279">
                  <c:v>BeÃ©le</c:v>
                </c:pt>
                <c:pt idx="280">
                  <c:v>The Notorious B.I.G.</c:v>
                </c:pt>
                <c:pt idx="281">
                  <c:v>Mitski</c:v>
                </c:pt>
                <c:pt idx="282">
                  <c:v>Tainy</c:v>
                </c:pt>
                <c:pt idx="283">
                  <c:v>ZÃ© Neto &amp; Cristiano</c:v>
                </c:pt>
                <c:pt idx="284">
                  <c:v>Rammstein</c:v>
                </c:pt>
                <c:pt idx="285">
                  <c:v>Labrinth</c:v>
                </c:pt>
                <c:pt idx="286">
                  <c:v>Chencho Corleone</c:v>
                </c:pt>
                <c:pt idx="287">
                  <c:v>Darell</c:v>
                </c:pt>
                <c:pt idx="288">
                  <c:v>Bon Jovi</c:v>
                </c:pt>
                <c:pt idx="289">
                  <c:v>The Killers</c:v>
                </c:pt>
                <c:pt idx="290">
                  <c:v>blink-182</c:v>
                </c:pt>
                <c:pt idx="291">
                  <c:v>Summer Walker</c:v>
                </c:pt>
                <c:pt idx="292">
                  <c:v>JhenÃ© Aiko</c:v>
                </c:pt>
                <c:pt idx="293">
                  <c:v>Kehlani</c:v>
                </c:pt>
                <c:pt idx="294">
                  <c:v>Clean Bandit</c:v>
                </c:pt>
                <c:pt idx="295">
                  <c:v>David Bowie</c:v>
                </c:pt>
                <c:pt idx="296">
                  <c:v>U2</c:v>
                </c:pt>
                <c:pt idx="297">
                  <c:v>Aventura</c:v>
                </c:pt>
                <c:pt idx="298">
                  <c:v>Foo Fighters</c:v>
                </c:pt>
                <c:pt idx="299">
                  <c:v>The 1975</c:v>
                </c:pt>
                <c:pt idx="300">
                  <c:v>Maria Becerra</c:v>
                </c:pt>
                <c:pt idx="301">
                  <c:v>Plan B</c:v>
                </c:pt>
                <c:pt idx="302">
                  <c:v>Steve Lacy</c:v>
                </c:pt>
                <c:pt idx="303">
                  <c:v>De La Ghetto</c:v>
                </c:pt>
                <c:pt idx="304">
                  <c:v>Troye Sivan</c:v>
                </c:pt>
                <c:pt idx="305">
                  <c:v>Conan Gray</c:v>
                </c:pt>
                <c:pt idx="306">
                  <c:v>Ludacris</c:v>
                </c:pt>
                <c:pt idx="307">
                  <c:v>Burna Boy</c:v>
                </c:pt>
                <c:pt idx="308">
                  <c:v>Danny Ocean</c:v>
                </c:pt>
                <c:pt idx="309">
                  <c:v>Meek Mill</c:v>
                </c:pt>
                <c:pt idx="310">
                  <c:v>My Chemical Romance</c:v>
                </c:pt>
                <c:pt idx="311">
                  <c:v>Alessia Cara</c:v>
                </c:pt>
                <c:pt idx="312">
                  <c:v>Vishal-Shekhar</c:v>
                </c:pt>
                <c:pt idx="313">
                  <c:v>Paulo Londra</c:v>
                </c:pt>
                <c:pt idx="314">
                  <c:v>La Arrolladora Banda El Limón</c:v>
                </c:pt>
                <c:pt idx="315">
                  <c:v>Yeat</c:v>
                </c:pt>
                <c:pt idx="316">
                  <c:v>Matheus &amp; Kauan</c:v>
                </c:pt>
                <c:pt idx="317">
                  <c:v>Alok</c:v>
                </c:pt>
                <c:pt idx="318">
                  <c:v>Bring Me The Horizon</c:v>
                </c:pt>
                <c:pt idx="319">
                  <c:v>Central Cee</c:v>
                </c:pt>
                <c:pt idx="320">
                  <c:v>League of Legends</c:v>
                </c:pt>
                <c:pt idx="321">
                  <c:v>Mac DeMarco</c:v>
                </c:pt>
                <c:pt idx="322">
                  <c:v>Benson Boone</c:v>
                </c:pt>
                <c:pt idx="323">
                  <c:v>Dalex</c:v>
                </c:pt>
                <c:pt idx="324">
                  <c:v>Nickelback</c:v>
                </c:pt>
                <c:pt idx="325">
                  <c:v>Marc Anthony</c:v>
                </c:pt>
                <c:pt idx="326">
                  <c:v>ManÃ¡</c:v>
                </c:pt>
                <c:pt idx="327">
                  <c:v>Led Zeppelin</c:v>
                </c:pt>
                <c:pt idx="328">
                  <c:v>MÃ¥neskin</c:v>
                </c:pt>
                <c:pt idx="329">
                  <c:v>Florida Georgia Line</c:v>
                </c:pt>
                <c:pt idx="330">
                  <c:v>Luis Fonsi</c:v>
                </c:pt>
                <c:pt idx="331">
                  <c:v>RAYE</c:v>
                </c:pt>
                <c:pt idx="332">
                  <c:v>Neton Vega</c:v>
                </c:pt>
                <c:pt idx="333">
                  <c:v>Gracie Abrams</c:v>
                </c:pt>
                <c:pt idx="334">
                  <c:v>Timbaland</c:v>
                </c:pt>
                <c:pt idx="335">
                  <c:v>Jeremih</c:v>
                </c:pt>
                <c:pt idx="336">
                  <c:v>The Lumineers</c:v>
                </c:pt>
                <c:pt idx="337">
                  <c:v>Oscar Maydon</c:v>
                </c:pt>
                <c:pt idx="338">
                  <c:v>Anderson .Paak</c:v>
                </c:pt>
                <c:pt idx="339">
                  <c:v>Chase Atlantic</c:v>
                </c:pt>
                <c:pt idx="340">
                  <c:v>JuliÃ³n Ãlvarez y su NorteÃ±o Banda</c:v>
                </c:pt>
                <c:pt idx="341">
                  <c:v>Prince Royce</c:v>
                </c:pt>
                <c:pt idx="342">
                  <c:v>Bastille</c:v>
                </c:pt>
                <c:pt idx="343">
                  <c:v>Sfera Ebbasta</c:v>
                </c:pt>
                <c:pt idx="344">
                  <c:v>Florence + The Machine</c:v>
                </c:pt>
                <c:pt idx="345">
                  <c:v>YG</c:v>
                </c:pt>
                <c:pt idx="346">
                  <c:v>Alejandro Sanz</c:v>
                </c:pt>
                <c:pt idx="347">
                  <c:v>Lil Tjay</c:v>
                </c:pt>
                <c:pt idx="348">
                  <c:v>GIVÄ’ON</c:v>
                </c:pt>
                <c:pt idx="349">
                  <c:v>Billy Joel</c:v>
                </c:pt>
                <c:pt idx="350">
                  <c:v>Luke Bryan</c:v>
                </c:pt>
                <c:pt idx="351">
                  <c:v>Muse</c:v>
                </c:pt>
                <c:pt idx="352">
                  <c:v>Jonas Blue</c:v>
                </c:pt>
                <c:pt idx="353">
                  <c:v>Teddy Swims</c:v>
                </c:pt>
                <c:pt idx="354">
                  <c:v>Juanes</c:v>
                </c:pt>
                <c:pt idx="355">
                  <c:v>Jennifer Lopez</c:v>
                </c:pt>
                <c:pt idx="356">
                  <c:v>Cartel De Santa</c:v>
                </c:pt>
                <c:pt idx="357">
                  <c:v>T.I.</c:v>
                </c:pt>
                <c:pt idx="358">
                  <c:v>Gabito Ballesteros</c:v>
                </c:pt>
                <c:pt idx="359">
                  <c:v>El Alfa</c:v>
                </c:pt>
                <c:pt idx="360">
                  <c:v>Alka Yagnik</c:v>
                </c:pt>
                <c:pt idx="361">
                  <c:v>Blessd</c:v>
                </c:pt>
                <c:pt idx="362">
                  <c:v>NATTI NATASHA</c:v>
                </c:pt>
                <c:pt idx="363">
                  <c:v>Bruce Springsteen</c:v>
                </c:pt>
                <c:pt idx="364">
                  <c:v>Alfredo Olivas</c:v>
                </c:pt>
                <c:pt idx="365">
                  <c:v>Jonas Brothers</c:v>
                </c:pt>
                <c:pt idx="366">
                  <c:v>Hans Zimmer</c:v>
                </c:pt>
                <c:pt idx="367">
                  <c:v>Julia Michaels</c:v>
                </c:pt>
                <c:pt idx="368">
                  <c:v>Deftones</c:v>
                </c:pt>
                <c:pt idx="369">
                  <c:v>Clairo</c:v>
                </c:pt>
                <c:pt idx="370">
                  <c:v>Whitney Houston</c:v>
                </c:pt>
                <c:pt idx="371">
                  <c:v>Tove Lo</c:v>
                </c:pt>
                <c:pt idx="372">
                  <c:v>DJ Luian</c:v>
                </c:pt>
                <c:pt idx="373">
                  <c:v>Amy Winehouse</c:v>
                </c:pt>
                <c:pt idx="374">
                  <c:v>TV Girl</c:v>
                </c:pt>
                <c:pt idx="375">
                  <c:v>Tanishk Bagchi</c:v>
                </c:pt>
                <c:pt idx="376">
                  <c:v>Dave</c:v>
                </c:pt>
                <c:pt idx="377">
                  <c:v>Avril Lavigne</c:v>
                </c:pt>
                <c:pt idx="378">
                  <c:v>Lost Frequencies</c:v>
                </c:pt>
                <c:pt idx="379">
                  <c:v>Kings of Leon</c:v>
                </c:pt>
                <c:pt idx="380">
                  <c:v>Joan Sebastian</c:v>
                </c:pt>
                <c:pt idx="381">
                  <c:v>Alejandro FernÃ¡ndez</c:v>
                </c:pt>
                <c:pt idx="382">
                  <c:v>Glass Animals</c:v>
                </c:pt>
                <c:pt idx="383">
                  <c:v>Sachin-Jigar</c:v>
                </c:pt>
                <c:pt idx="384">
                  <c:v>Fetty Wap</c:v>
                </c:pt>
                <c:pt idx="385">
                  <c:v>NAV</c:v>
                </c:pt>
                <c:pt idx="386">
                  <c:v>Jack Johnson</c:v>
                </c:pt>
                <c:pt idx="387">
                  <c:v>SEVENTEEN</c:v>
                </c:pt>
                <c:pt idx="388">
                  <c:v>The Script</c:v>
                </c:pt>
                <c:pt idx="389">
                  <c:v>TINI</c:v>
                </c:pt>
                <c:pt idx="390">
                  <c:v>Backstreet Boys</c:v>
                </c:pt>
                <c:pt idx="391">
                  <c:v>Jimin</c:v>
                </c:pt>
                <c:pt idx="392">
                  <c:v>Mambo Kingz</c:v>
                </c:pt>
                <c:pt idx="393">
                  <c:v>NLE Choppa</c:v>
                </c:pt>
                <c:pt idx="394">
                  <c:v>GIMS</c:v>
                </c:pt>
                <c:pt idx="395">
                  <c:v>Calibre 50</c:v>
                </c:pt>
                <c:pt idx="396">
                  <c:v>Chappell Roan</c:v>
                </c:pt>
                <c:pt idx="397">
                  <c:v>Stevie Wonder</c:v>
                </c:pt>
                <c:pt idx="398">
                  <c:v>Juicy J</c:v>
                </c:pt>
                <c:pt idx="399">
                  <c:v>Mark Ronson</c:v>
                </c:pt>
                <c:pt idx="400">
                  <c:v>Kelly Clarkson</c:v>
                </c:pt>
                <c:pt idx="401">
                  <c:v>The Offspring</c:v>
                </c:pt>
                <c:pt idx="402">
                  <c:v>Bonez MC</c:v>
                </c:pt>
                <c:pt idx="403">
                  <c:v>Bibi Blocksberg</c:v>
                </c:pt>
                <c:pt idx="404">
                  <c:v>Milo j</c:v>
                </c:pt>
                <c:pt idx="405">
                  <c:v>Jay Wheeler</c:v>
                </c:pt>
                <c:pt idx="406">
                  <c:v>felix jaehn</c:v>
                </c:pt>
                <c:pt idx="407">
                  <c:v>Niall Horan</c:v>
                </c:pt>
                <c:pt idx="408">
                  <c:v>6ix9ine</c:v>
                </c:pt>
                <c:pt idx="409">
                  <c:v>Nate Dogg</c:v>
                </c:pt>
                <c:pt idx="410">
                  <c:v>Noriel</c:v>
                </c:pt>
                <c:pt idx="411">
                  <c:v>Vicente FernÃ¡ndez</c:v>
                </c:pt>
                <c:pt idx="412">
                  <c:v>Three Days Grace</c:v>
                </c:pt>
                <c:pt idx="413">
                  <c:v>Aerosmith</c:v>
                </c:pt>
                <c:pt idx="414">
                  <c:v>Bee Gees</c:v>
                </c:pt>
                <c:pt idx="415">
                  <c:v>Udit Narayan</c:v>
                </c:pt>
                <c:pt idx="416">
                  <c:v>Piso 21</c:v>
                </c:pt>
                <c:pt idx="417">
                  <c:v>Rod Wave</c:v>
                </c:pt>
                <c:pt idx="418">
                  <c:v>Vance Joy</c:v>
                </c:pt>
                <c:pt idx="419">
                  <c:v>Bon Iver</c:v>
                </c:pt>
                <c:pt idx="420">
                  <c:v>Eslabon Armado</c:v>
                </c:pt>
                <c:pt idx="421">
                  <c:v>JENNIE</c:v>
                </c:pt>
                <c:pt idx="422">
                  <c:v>Russ</c:v>
                </c:pt>
                <c:pt idx="423">
                  <c:v>Rae Sremmurd</c:v>
                </c:pt>
                <c:pt idx="424">
                  <c:v>Jess Glynne</c:v>
                </c:pt>
                <c:pt idx="425">
                  <c:v>The Smiths</c:v>
                </c:pt>
                <c:pt idx="426">
                  <c:v>Eagles</c:v>
                </c:pt>
                <c:pt idx="427">
                  <c:v>The Police</c:v>
                </c:pt>
                <c:pt idx="428">
                  <c:v>Phil Collins</c:v>
                </c:pt>
                <c:pt idx="429">
                  <c:v>The Strokes</c:v>
                </c:pt>
                <c:pt idx="430">
                  <c:v>Atif Aslam</c:v>
                </c:pt>
                <c:pt idx="431">
                  <c:v>Ovy On The Drums</c:v>
                </c:pt>
                <c:pt idx="432">
                  <c:v>Olivia Dean</c:v>
                </c:pt>
                <c:pt idx="433">
                  <c:v>Dire Straits</c:v>
                </c:pt>
                <c:pt idx="434">
                  <c:v>NewJeans</c:v>
                </c:pt>
                <c:pt idx="435">
                  <c:v>Avenged Sevenfold</c:v>
                </c:pt>
                <c:pt idx="436">
                  <c:v>Ricardo Arjona</c:v>
                </c:pt>
                <c:pt idx="437">
                  <c:v>Los Ãngeles Azules</c:v>
                </c:pt>
                <c:pt idx="438">
                  <c:v>Rex Orange County</c:v>
                </c:pt>
                <c:pt idx="439">
                  <c:v>ScHoolboy Q</c:v>
                </c:pt>
                <c:pt idx="440">
                  <c:v>6LACK</c:v>
                </c:pt>
                <c:pt idx="441">
                  <c:v>Disclosure</c:v>
                </c:pt>
                <c:pt idx="442">
                  <c:v>Brytiago</c:v>
                </c:pt>
                <c:pt idx="443">
                  <c:v>Alesso</c:v>
                </c:pt>
                <c:pt idx="444">
                  <c:v>RAF Camora</c:v>
                </c:pt>
                <c:pt idx="445">
                  <c:v>Nelly</c:v>
                </c:pt>
                <c:pt idx="446">
                  <c:v>Mumford &amp; Sons</c:v>
                </c:pt>
                <c:pt idx="447">
                  <c:v>Kumaar</c:v>
                </c:pt>
                <c:pt idx="448">
                  <c:v>Pearl Jam</c:v>
                </c:pt>
                <c:pt idx="449">
                  <c:v>Zion</c:v>
                </c:pt>
                <c:pt idx="450">
                  <c:v>Ryan Castro</c:v>
                </c:pt>
                <c:pt idx="451">
                  <c:v>Nelly Furtado</c:v>
                </c:pt>
                <c:pt idx="452">
                  <c:v>Wesley SafadÃ£o</c:v>
                </c:pt>
                <c:pt idx="453">
                  <c:v>Disturbed</c:v>
                </c:pt>
                <c:pt idx="454">
                  <c:v>H.E.R.</c:v>
                </c:pt>
                <c:pt idx="455">
                  <c:v>Rita Ora</c:v>
                </c:pt>
                <c:pt idx="456">
                  <c:v>Kevin Gates</c:v>
                </c:pt>
                <c:pt idx="457">
                  <c:v>beabadoobee</c:v>
                </c:pt>
                <c:pt idx="458">
                  <c:v>Karan Aujla</c:v>
                </c:pt>
                <c:pt idx="459">
                  <c:v>CÃ©line Dion</c:v>
                </c:pt>
                <c:pt idx="460">
                  <c:v>Bryan Adams</c:v>
                </c:pt>
                <c:pt idx="461">
                  <c:v>ENHYPEN</c:v>
                </c:pt>
                <c:pt idx="462">
                  <c:v>Dominic Fike</c:v>
                </c:pt>
                <c:pt idx="463">
                  <c:v>Ana Castela</c:v>
                </c:pt>
                <c:pt idx="464">
                  <c:v>LANY</c:v>
                </c:pt>
                <c:pt idx="465">
                  <c:v>Johnny Cash</c:v>
                </c:pt>
                <c:pt idx="466">
                  <c:v>B.o.B</c:v>
                </c:pt>
                <c:pt idx="467">
                  <c:v>Jason Aldean</c:v>
                </c:pt>
                <c:pt idx="468">
                  <c:v>Luan Santana</c:v>
                </c:pt>
                <c:pt idx="469">
                  <c:v>KHEA</c:v>
                </c:pt>
                <c:pt idx="470">
                  <c:v>Maiara &amp; Maraisa</c:v>
                </c:pt>
                <c:pt idx="471">
                  <c:v>Mc IG</c:v>
                </c:pt>
                <c:pt idx="472">
                  <c:v>Tiago PZK</c:v>
                </c:pt>
                <c:pt idx="473">
                  <c:v>Tom Odell</c:v>
                </c:pt>
                <c:pt idx="474">
                  <c:v>Macklemore &amp; Ryan Lewis</c:v>
                </c:pt>
                <c:pt idx="475">
                  <c:v>Thomas Rhett</c:v>
                </c:pt>
                <c:pt idx="476">
                  <c:v>MÃ˜</c:v>
                </c:pt>
                <c:pt idx="477">
                  <c:v>Five Finger Death Punch</c:v>
                </c:pt>
                <c:pt idx="478">
                  <c:v>Kane Brown</c:v>
                </c:pt>
                <c:pt idx="479">
                  <c:v>Laufey</c:v>
                </c:pt>
                <c:pt idx="480">
                  <c:v>Grupo Menos Ã‰ Mais</c:v>
                </c:pt>
                <c:pt idx="481">
                  <c:v>Nicki Nicole</c:v>
                </c:pt>
                <c:pt idx="482">
                  <c:v>Moneybagg Yo</c:v>
                </c:pt>
                <c:pt idx="483">
                  <c:v>Magenta</c:v>
                </c:pt>
                <c:pt idx="484">
                  <c:v>Ryan Lewis</c:v>
                </c:pt>
                <c:pt idx="485">
                  <c:v>Morad</c:v>
                </c:pt>
                <c:pt idx="486">
                  <c:v>Calum Scott</c:v>
                </c:pt>
                <c:pt idx="487">
                  <c:v>TOMORROW X TOGETHER</c:v>
                </c:pt>
                <c:pt idx="488">
                  <c:v>Grupo Marca Registrada</c:v>
                </c:pt>
                <c:pt idx="489">
                  <c:v>benny blanco</c:v>
                </c:pt>
                <c:pt idx="490">
                  <c:v>JID</c:v>
                </c:pt>
                <c:pt idx="491">
                  <c:v>YNW Melly</c:v>
                </c:pt>
                <c:pt idx="492">
                  <c:v>Juan Gabriel</c:v>
                </c:pt>
                <c:pt idx="493">
                  <c:v>Los Temerarios</c:v>
                </c:pt>
                <c:pt idx="494">
                  <c:v>Jason Mraz</c:v>
                </c:pt>
                <c:pt idx="495">
                  <c:v>The Cure</c:v>
                </c:pt>
                <c:pt idx="496">
                  <c:v>The MarÃ­as</c:v>
                </c:pt>
                <c:pt idx="497">
                  <c:v>Limp Bizkit</c:v>
                </c:pt>
                <c:pt idx="498">
                  <c:v>Korn</c:v>
                </c:pt>
                <c:pt idx="499">
                  <c:v>Omar Courtz</c:v>
                </c:pt>
              </c:strCache>
            </c:strRef>
          </c:cat>
          <c:val>
            <c:numRef>
              <c:f>'Language based analysis'!$B$17:$B$517</c:f>
              <c:numCache>
                <c:formatCode>General</c:formatCode>
                <c:ptCount val="500"/>
                <c:pt idx="0">
                  <c:v>137492.1</c:v>
                </c:pt>
                <c:pt idx="1">
                  <c:v>127861</c:v>
                </c:pt>
                <c:pt idx="2">
                  <c:v>125899.8</c:v>
                </c:pt>
                <c:pt idx="3">
                  <c:v>95703.2</c:v>
                </c:pt>
                <c:pt idx="4">
                  <c:v>78104.399999999994</c:v>
                </c:pt>
                <c:pt idx="5">
                  <c:v>68298.899999999994</c:v>
                </c:pt>
                <c:pt idx="6">
                  <c:v>65349.7</c:v>
                </c:pt>
                <c:pt idx="7">
                  <c:v>65142.9</c:v>
                </c:pt>
                <c:pt idx="8">
                  <c:v>64656.9</c:v>
                </c:pt>
                <c:pt idx="9">
                  <c:v>64549</c:v>
                </c:pt>
                <c:pt idx="10">
                  <c:v>60670.7</c:v>
                </c:pt>
                <c:pt idx="11">
                  <c:v>58049.5</c:v>
                </c:pt>
                <c:pt idx="12">
                  <c:v>56727.1</c:v>
                </c:pt>
                <c:pt idx="13">
                  <c:v>56459.5</c:v>
                </c:pt>
                <c:pt idx="14">
                  <c:v>55028.3</c:v>
                </c:pt>
                <c:pt idx="15">
                  <c:v>54649.2</c:v>
                </c:pt>
                <c:pt idx="16">
                  <c:v>53951.5</c:v>
                </c:pt>
                <c:pt idx="17">
                  <c:v>53308.9</c:v>
                </c:pt>
                <c:pt idx="18">
                  <c:v>47649.2</c:v>
                </c:pt>
                <c:pt idx="19">
                  <c:v>46720.4</c:v>
                </c:pt>
                <c:pt idx="20">
                  <c:v>46276.4</c:v>
                </c:pt>
                <c:pt idx="21">
                  <c:v>43963.8</c:v>
                </c:pt>
                <c:pt idx="22">
                  <c:v>43330.3</c:v>
                </c:pt>
                <c:pt idx="23">
                  <c:v>42464.1</c:v>
                </c:pt>
                <c:pt idx="24">
                  <c:v>42059.5</c:v>
                </c:pt>
                <c:pt idx="25">
                  <c:v>41944.1</c:v>
                </c:pt>
                <c:pt idx="26">
                  <c:v>41405.4</c:v>
                </c:pt>
                <c:pt idx="27">
                  <c:v>40738.6</c:v>
                </c:pt>
                <c:pt idx="28">
                  <c:v>40453.300000000003</c:v>
                </c:pt>
                <c:pt idx="29">
                  <c:v>40411.300000000003</c:v>
                </c:pt>
                <c:pt idx="30">
                  <c:v>40279.5</c:v>
                </c:pt>
                <c:pt idx="31">
                  <c:v>40148.199999999997</c:v>
                </c:pt>
                <c:pt idx="32">
                  <c:v>39024.300000000003</c:v>
                </c:pt>
                <c:pt idx="33">
                  <c:v>38879.599999999999</c:v>
                </c:pt>
                <c:pt idx="34">
                  <c:v>37687.800000000003</c:v>
                </c:pt>
                <c:pt idx="35">
                  <c:v>37565.4</c:v>
                </c:pt>
                <c:pt idx="36">
                  <c:v>37549.699999999997</c:v>
                </c:pt>
                <c:pt idx="37">
                  <c:v>35931.9</c:v>
                </c:pt>
                <c:pt idx="38">
                  <c:v>35794.1</c:v>
                </c:pt>
                <c:pt idx="39">
                  <c:v>35727.199999999997</c:v>
                </c:pt>
                <c:pt idx="40">
                  <c:v>34975.199999999997</c:v>
                </c:pt>
                <c:pt idx="41">
                  <c:v>34841</c:v>
                </c:pt>
                <c:pt idx="42">
                  <c:v>34579.1</c:v>
                </c:pt>
                <c:pt idx="43">
                  <c:v>34129.699999999997</c:v>
                </c:pt>
                <c:pt idx="44">
                  <c:v>33620.699999999997</c:v>
                </c:pt>
                <c:pt idx="45">
                  <c:v>33224.699999999997</c:v>
                </c:pt>
                <c:pt idx="46">
                  <c:v>33179.800000000003</c:v>
                </c:pt>
                <c:pt idx="47">
                  <c:v>32200.9</c:v>
                </c:pt>
                <c:pt idx="48">
                  <c:v>32115.9</c:v>
                </c:pt>
                <c:pt idx="49">
                  <c:v>31642.1</c:v>
                </c:pt>
                <c:pt idx="50">
                  <c:v>31214.3</c:v>
                </c:pt>
                <c:pt idx="51">
                  <c:v>31212.400000000001</c:v>
                </c:pt>
                <c:pt idx="52">
                  <c:v>31171.1</c:v>
                </c:pt>
                <c:pt idx="53">
                  <c:v>30933.8</c:v>
                </c:pt>
                <c:pt idx="54">
                  <c:v>29775.3</c:v>
                </c:pt>
                <c:pt idx="55">
                  <c:v>29471.1</c:v>
                </c:pt>
                <c:pt idx="56">
                  <c:v>29449</c:v>
                </c:pt>
                <c:pt idx="57">
                  <c:v>29370</c:v>
                </c:pt>
                <c:pt idx="58">
                  <c:v>29197.200000000001</c:v>
                </c:pt>
                <c:pt idx="59">
                  <c:v>28889.5</c:v>
                </c:pt>
                <c:pt idx="60">
                  <c:v>28848.7</c:v>
                </c:pt>
                <c:pt idx="61">
                  <c:v>28799.7</c:v>
                </c:pt>
                <c:pt idx="62">
                  <c:v>28690.5</c:v>
                </c:pt>
                <c:pt idx="63">
                  <c:v>28543.9</c:v>
                </c:pt>
                <c:pt idx="64">
                  <c:v>28248</c:v>
                </c:pt>
                <c:pt idx="65">
                  <c:v>28195.8</c:v>
                </c:pt>
                <c:pt idx="66">
                  <c:v>28155.4</c:v>
                </c:pt>
                <c:pt idx="67">
                  <c:v>27466.799999999999</c:v>
                </c:pt>
                <c:pt idx="68">
                  <c:v>27406.799999999999</c:v>
                </c:pt>
                <c:pt idx="69">
                  <c:v>27125.8</c:v>
                </c:pt>
                <c:pt idx="70">
                  <c:v>26895.1</c:v>
                </c:pt>
                <c:pt idx="71">
                  <c:v>26465.200000000001</c:v>
                </c:pt>
                <c:pt idx="72">
                  <c:v>26130.5</c:v>
                </c:pt>
                <c:pt idx="73">
                  <c:v>25875.8</c:v>
                </c:pt>
                <c:pt idx="74">
                  <c:v>25875.4</c:v>
                </c:pt>
                <c:pt idx="75">
                  <c:v>25818.400000000001</c:v>
                </c:pt>
                <c:pt idx="76">
                  <c:v>25687.5</c:v>
                </c:pt>
                <c:pt idx="77">
                  <c:v>25289.9</c:v>
                </c:pt>
                <c:pt idx="78">
                  <c:v>25264.400000000001</c:v>
                </c:pt>
                <c:pt idx="79">
                  <c:v>24888.6</c:v>
                </c:pt>
                <c:pt idx="80">
                  <c:v>24807.4</c:v>
                </c:pt>
                <c:pt idx="81">
                  <c:v>24607</c:v>
                </c:pt>
                <c:pt idx="82">
                  <c:v>24440.1</c:v>
                </c:pt>
                <c:pt idx="83">
                  <c:v>24217.200000000001</c:v>
                </c:pt>
                <c:pt idx="84">
                  <c:v>23907.599999999999</c:v>
                </c:pt>
                <c:pt idx="85">
                  <c:v>23845.1</c:v>
                </c:pt>
                <c:pt idx="86">
                  <c:v>23705.9</c:v>
                </c:pt>
                <c:pt idx="87">
                  <c:v>22494.9</c:v>
                </c:pt>
                <c:pt idx="88">
                  <c:v>22475.8</c:v>
                </c:pt>
                <c:pt idx="89">
                  <c:v>22236.1</c:v>
                </c:pt>
                <c:pt idx="90">
                  <c:v>21937.3</c:v>
                </c:pt>
                <c:pt idx="91">
                  <c:v>21873.8</c:v>
                </c:pt>
                <c:pt idx="92">
                  <c:v>21546.2</c:v>
                </c:pt>
                <c:pt idx="93">
                  <c:v>21202.3</c:v>
                </c:pt>
                <c:pt idx="94">
                  <c:v>21182.2</c:v>
                </c:pt>
                <c:pt idx="95">
                  <c:v>21003.5</c:v>
                </c:pt>
                <c:pt idx="96">
                  <c:v>20670.8</c:v>
                </c:pt>
                <c:pt idx="97">
                  <c:v>20644.8</c:v>
                </c:pt>
                <c:pt idx="98">
                  <c:v>20549.2</c:v>
                </c:pt>
                <c:pt idx="99">
                  <c:v>20444.599999999999</c:v>
                </c:pt>
                <c:pt idx="100">
                  <c:v>20300.7</c:v>
                </c:pt>
                <c:pt idx="101">
                  <c:v>20138.099999999999</c:v>
                </c:pt>
                <c:pt idx="102">
                  <c:v>20091.099999999999</c:v>
                </c:pt>
                <c:pt idx="103">
                  <c:v>19977.5</c:v>
                </c:pt>
                <c:pt idx="104">
                  <c:v>19830.5</c:v>
                </c:pt>
                <c:pt idx="105">
                  <c:v>19727.2</c:v>
                </c:pt>
                <c:pt idx="106">
                  <c:v>19707.8</c:v>
                </c:pt>
                <c:pt idx="107">
                  <c:v>19528.3</c:v>
                </c:pt>
                <c:pt idx="108">
                  <c:v>19440.5</c:v>
                </c:pt>
                <c:pt idx="109">
                  <c:v>19383.5</c:v>
                </c:pt>
                <c:pt idx="110">
                  <c:v>19231.7</c:v>
                </c:pt>
                <c:pt idx="111">
                  <c:v>19101.599999999999</c:v>
                </c:pt>
                <c:pt idx="112">
                  <c:v>19090.400000000001</c:v>
                </c:pt>
                <c:pt idx="113">
                  <c:v>18912.7</c:v>
                </c:pt>
                <c:pt idx="114">
                  <c:v>18889.599999999999</c:v>
                </c:pt>
                <c:pt idx="115">
                  <c:v>18707.3</c:v>
                </c:pt>
                <c:pt idx="116">
                  <c:v>18649.5</c:v>
                </c:pt>
                <c:pt idx="117">
                  <c:v>18627</c:v>
                </c:pt>
                <c:pt idx="118">
                  <c:v>18580.599999999999</c:v>
                </c:pt>
                <c:pt idx="119">
                  <c:v>18413.2</c:v>
                </c:pt>
                <c:pt idx="120">
                  <c:v>18309.3</c:v>
                </c:pt>
                <c:pt idx="121">
                  <c:v>18270.8</c:v>
                </c:pt>
                <c:pt idx="122">
                  <c:v>18217.099999999999</c:v>
                </c:pt>
                <c:pt idx="123">
                  <c:v>18203.3</c:v>
                </c:pt>
                <c:pt idx="124">
                  <c:v>18064.3</c:v>
                </c:pt>
                <c:pt idx="125">
                  <c:v>18005.3</c:v>
                </c:pt>
                <c:pt idx="126">
                  <c:v>17738.8</c:v>
                </c:pt>
                <c:pt idx="127">
                  <c:v>17720.2</c:v>
                </c:pt>
                <c:pt idx="128">
                  <c:v>17517.400000000001</c:v>
                </c:pt>
                <c:pt idx="129">
                  <c:v>17516.099999999999</c:v>
                </c:pt>
                <c:pt idx="130">
                  <c:v>17440.2</c:v>
                </c:pt>
                <c:pt idx="131">
                  <c:v>17316.599999999999</c:v>
                </c:pt>
                <c:pt idx="132">
                  <c:v>17314.099999999999</c:v>
                </c:pt>
                <c:pt idx="133">
                  <c:v>17119.5</c:v>
                </c:pt>
                <c:pt idx="134">
                  <c:v>17056</c:v>
                </c:pt>
                <c:pt idx="135">
                  <c:v>17010.5</c:v>
                </c:pt>
                <c:pt idx="136">
                  <c:v>16984.3</c:v>
                </c:pt>
                <c:pt idx="137">
                  <c:v>16969.400000000001</c:v>
                </c:pt>
                <c:pt idx="138">
                  <c:v>16893.400000000001</c:v>
                </c:pt>
                <c:pt idx="139">
                  <c:v>16877.3</c:v>
                </c:pt>
                <c:pt idx="140">
                  <c:v>16577.5</c:v>
                </c:pt>
                <c:pt idx="141">
                  <c:v>16556.5</c:v>
                </c:pt>
                <c:pt idx="142">
                  <c:v>16553.3</c:v>
                </c:pt>
                <c:pt idx="143">
                  <c:v>16454.900000000001</c:v>
                </c:pt>
                <c:pt idx="144">
                  <c:v>16428.900000000001</c:v>
                </c:pt>
                <c:pt idx="145">
                  <c:v>16366.1</c:v>
                </c:pt>
                <c:pt idx="146">
                  <c:v>16271.6</c:v>
                </c:pt>
                <c:pt idx="147">
                  <c:v>16228.7</c:v>
                </c:pt>
                <c:pt idx="148">
                  <c:v>16217.4</c:v>
                </c:pt>
                <c:pt idx="149">
                  <c:v>16148.3</c:v>
                </c:pt>
                <c:pt idx="150">
                  <c:v>16111.6</c:v>
                </c:pt>
                <c:pt idx="151">
                  <c:v>16021.1</c:v>
                </c:pt>
                <c:pt idx="152">
                  <c:v>15952.2</c:v>
                </c:pt>
                <c:pt idx="153">
                  <c:v>15921.1</c:v>
                </c:pt>
                <c:pt idx="154">
                  <c:v>15876.2</c:v>
                </c:pt>
                <c:pt idx="155">
                  <c:v>15775.7</c:v>
                </c:pt>
                <c:pt idx="156">
                  <c:v>15746</c:v>
                </c:pt>
                <c:pt idx="157">
                  <c:v>15723</c:v>
                </c:pt>
                <c:pt idx="158">
                  <c:v>15684.7</c:v>
                </c:pt>
                <c:pt idx="159">
                  <c:v>15638.8</c:v>
                </c:pt>
                <c:pt idx="160">
                  <c:v>15562.1</c:v>
                </c:pt>
                <c:pt idx="161">
                  <c:v>15561.7</c:v>
                </c:pt>
                <c:pt idx="162">
                  <c:v>15528.2</c:v>
                </c:pt>
                <c:pt idx="163">
                  <c:v>15525.6</c:v>
                </c:pt>
                <c:pt idx="164">
                  <c:v>15453.3</c:v>
                </c:pt>
                <c:pt idx="165">
                  <c:v>15329.4</c:v>
                </c:pt>
                <c:pt idx="166">
                  <c:v>15252.2</c:v>
                </c:pt>
                <c:pt idx="167">
                  <c:v>15240.4</c:v>
                </c:pt>
                <c:pt idx="168">
                  <c:v>15133</c:v>
                </c:pt>
                <c:pt idx="169">
                  <c:v>15086.8</c:v>
                </c:pt>
                <c:pt idx="170">
                  <c:v>15041.1</c:v>
                </c:pt>
                <c:pt idx="171">
                  <c:v>14992.7</c:v>
                </c:pt>
                <c:pt idx="172">
                  <c:v>14947.4</c:v>
                </c:pt>
                <c:pt idx="173">
                  <c:v>14897.8</c:v>
                </c:pt>
                <c:pt idx="174">
                  <c:v>14888.6</c:v>
                </c:pt>
                <c:pt idx="175">
                  <c:v>14880.2</c:v>
                </c:pt>
                <c:pt idx="176">
                  <c:v>14558.4</c:v>
                </c:pt>
                <c:pt idx="177">
                  <c:v>14544.4</c:v>
                </c:pt>
                <c:pt idx="178">
                  <c:v>14512.1</c:v>
                </c:pt>
                <c:pt idx="179">
                  <c:v>14507.7</c:v>
                </c:pt>
                <c:pt idx="180">
                  <c:v>14506.3</c:v>
                </c:pt>
                <c:pt idx="181">
                  <c:v>14404.4</c:v>
                </c:pt>
                <c:pt idx="182">
                  <c:v>14402.6</c:v>
                </c:pt>
                <c:pt idx="183">
                  <c:v>14402.3</c:v>
                </c:pt>
                <c:pt idx="184">
                  <c:v>14387.1</c:v>
                </c:pt>
                <c:pt idx="185">
                  <c:v>14345.2</c:v>
                </c:pt>
                <c:pt idx="186">
                  <c:v>14293.7</c:v>
                </c:pt>
                <c:pt idx="187">
                  <c:v>14221.3</c:v>
                </c:pt>
                <c:pt idx="188">
                  <c:v>14166.6</c:v>
                </c:pt>
                <c:pt idx="189">
                  <c:v>14127.8</c:v>
                </c:pt>
                <c:pt idx="190">
                  <c:v>14116.7</c:v>
                </c:pt>
                <c:pt idx="191">
                  <c:v>14104.4</c:v>
                </c:pt>
                <c:pt idx="192">
                  <c:v>14087.8</c:v>
                </c:pt>
                <c:pt idx="193">
                  <c:v>13999.3</c:v>
                </c:pt>
                <c:pt idx="194">
                  <c:v>13994.1</c:v>
                </c:pt>
                <c:pt idx="195">
                  <c:v>13994</c:v>
                </c:pt>
                <c:pt idx="196">
                  <c:v>13978.6</c:v>
                </c:pt>
                <c:pt idx="197">
                  <c:v>13891.9</c:v>
                </c:pt>
                <c:pt idx="198">
                  <c:v>13890.6</c:v>
                </c:pt>
                <c:pt idx="199">
                  <c:v>13734.1</c:v>
                </c:pt>
                <c:pt idx="200">
                  <c:v>13692</c:v>
                </c:pt>
                <c:pt idx="201">
                  <c:v>13683</c:v>
                </c:pt>
                <c:pt idx="202">
                  <c:v>13650.2</c:v>
                </c:pt>
                <c:pt idx="203">
                  <c:v>13543.1</c:v>
                </c:pt>
                <c:pt idx="204">
                  <c:v>13532</c:v>
                </c:pt>
                <c:pt idx="205">
                  <c:v>13503.4</c:v>
                </c:pt>
                <c:pt idx="206">
                  <c:v>13490.4</c:v>
                </c:pt>
                <c:pt idx="207">
                  <c:v>13468.7</c:v>
                </c:pt>
                <c:pt idx="208">
                  <c:v>13433.6</c:v>
                </c:pt>
                <c:pt idx="209">
                  <c:v>13404.2</c:v>
                </c:pt>
                <c:pt idx="210">
                  <c:v>13398.3</c:v>
                </c:pt>
                <c:pt idx="211">
                  <c:v>13323.2</c:v>
                </c:pt>
                <c:pt idx="212">
                  <c:v>13320.3</c:v>
                </c:pt>
                <c:pt idx="213">
                  <c:v>13291</c:v>
                </c:pt>
                <c:pt idx="214">
                  <c:v>13287</c:v>
                </c:pt>
                <c:pt idx="215">
                  <c:v>13281.8</c:v>
                </c:pt>
                <c:pt idx="216">
                  <c:v>13273.4</c:v>
                </c:pt>
                <c:pt idx="217">
                  <c:v>13220.4</c:v>
                </c:pt>
                <c:pt idx="218">
                  <c:v>13208.3</c:v>
                </c:pt>
                <c:pt idx="219">
                  <c:v>13065.7</c:v>
                </c:pt>
                <c:pt idx="220">
                  <c:v>13039.8</c:v>
                </c:pt>
                <c:pt idx="221">
                  <c:v>13009.4</c:v>
                </c:pt>
                <c:pt idx="222">
                  <c:v>12994.4</c:v>
                </c:pt>
                <c:pt idx="223">
                  <c:v>12992.2</c:v>
                </c:pt>
                <c:pt idx="224">
                  <c:v>12985.2</c:v>
                </c:pt>
                <c:pt idx="225">
                  <c:v>12929.7</c:v>
                </c:pt>
                <c:pt idx="226">
                  <c:v>12857.9</c:v>
                </c:pt>
                <c:pt idx="227">
                  <c:v>12823.8</c:v>
                </c:pt>
                <c:pt idx="228">
                  <c:v>12810.9</c:v>
                </c:pt>
                <c:pt idx="229">
                  <c:v>12799.8</c:v>
                </c:pt>
                <c:pt idx="230">
                  <c:v>12788.3</c:v>
                </c:pt>
                <c:pt idx="231">
                  <c:v>12751</c:v>
                </c:pt>
                <c:pt idx="232">
                  <c:v>12716.2</c:v>
                </c:pt>
                <c:pt idx="233">
                  <c:v>12713.2</c:v>
                </c:pt>
                <c:pt idx="234">
                  <c:v>12700.7</c:v>
                </c:pt>
                <c:pt idx="235">
                  <c:v>12650.8</c:v>
                </c:pt>
                <c:pt idx="236">
                  <c:v>12647.5</c:v>
                </c:pt>
                <c:pt idx="237">
                  <c:v>12593.2</c:v>
                </c:pt>
                <c:pt idx="238">
                  <c:v>12593</c:v>
                </c:pt>
                <c:pt idx="239">
                  <c:v>12566.2</c:v>
                </c:pt>
                <c:pt idx="240">
                  <c:v>12421.7</c:v>
                </c:pt>
                <c:pt idx="241">
                  <c:v>12403.3</c:v>
                </c:pt>
                <c:pt idx="242">
                  <c:v>12394.6</c:v>
                </c:pt>
                <c:pt idx="243">
                  <c:v>12324.9</c:v>
                </c:pt>
                <c:pt idx="244">
                  <c:v>12209.5</c:v>
                </c:pt>
                <c:pt idx="245">
                  <c:v>12151.3</c:v>
                </c:pt>
                <c:pt idx="246">
                  <c:v>12136.7</c:v>
                </c:pt>
                <c:pt idx="247">
                  <c:v>12099.6</c:v>
                </c:pt>
                <c:pt idx="248">
                  <c:v>12094.7</c:v>
                </c:pt>
                <c:pt idx="249">
                  <c:v>11966.9</c:v>
                </c:pt>
                <c:pt idx="250">
                  <c:v>11879.6</c:v>
                </c:pt>
                <c:pt idx="251">
                  <c:v>11853.7</c:v>
                </c:pt>
                <c:pt idx="252">
                  <c:v>11821.6</c:v>
                </c:pt>
                <c:pt idx="253">
                  <c:v>11817.1</c:v>
                </c:pt>
                <c:pt idx="254">
                  <c:v>11783.3</c:v>
                </c:pt>
                <c:pt idx="255">
                  <c:v>11721</c:v>
                </c:pt>
                <c:pt idx="256">
                  <c:v>11715.1</c:v>
                </c:pt>
                <c:pt idx="257">
                  <c:v>11678.7</c:v>
                </c:pt>
                <c:pt idx="258">
                  <c:v>11640.6</c:v>
                </c:pt>
                <c:pt idx="259">
                  <c:v>11632.9</c:v>
                </c:pt>
                <c:pt idx="260">
                  <c:v>11588.8</c:v>
                </c:pt>
                <c:pt idx="261">
                  <c:v>11575.2</c:v>
                </c:pt>
                <c:pt idx="262">
                  <c:v>11566.2</c:v>
                </c:pt>
                <c:pt idx="263">
                  <c:v>11481.4</c:v>
                </c:pt>
                <c:pt idx="264">
                  <c:v>11480.4</c:v>
                </c:pt>
                <c:pt idx="265">
                  <c:v>11475.1</c:v>
                </c:pt>
                <c:pt idx="266">
                  <c:v>11459.5</c:v>
                </c:pt>
                <c:pt idx="267">
                  <c:v>11428.5</c:v>
                </c:pt>
                <c:pt idx="268">
                  <c:v>11314.2</c:v>
                </c:pt>
                <c:pt idx="269">
                  <c:v>11238.2</c:v>
                </c:pt>
                <c:pt idx="270">
                  <c:v>11232.6</c:v>
                </c:pt>
                <c:pt idx="271">
                  <c:v>11198.8</c:v>
                </c:pt>
                <c:pt idx="272">
                  <c:v>11196</c:v>
                </c:pt>
                <c:pt idx="273">
                  <c:v>11149</c:v>
                </c:pt>
                <c:pt idx="274">
                  <c:v>11063.6</c:v>
                </c:pt>
                <c:pt idx="275">
                  <c:v>11060.5</c:v>
                </c:pt>
                <c:pt idx="276">
                  <c:v>11051.4</c:v>
                </c:pt>
                <c:pt idx="277">
                  <c:v>11014.9</c:v>
                </c:pt>
                <c:pt idx="278">
                  <c:v>10985.7</c:v>
                </c:pt>
                <c:pt idx="279">
                  <c:v>10974</c:v>
                </c:pt>
                <c:pt idx="280">
                  <c:v>10968.8</c:v>
                </c:pt>
                <c:pt idx="281">
                  <c:v>10939.4</c:v>
                </c:pt>
                <c:pt idx="282">
                  <c:v>10933.4</c:v>
                </c:pt>
                <c:pt idx="283">
                  <c:v>10914.2</c:v>
                </c:pt>
                <c:pt idx="284">
                  <c:v>10902.6</c:v>
                </c:pt>
                <c:pt idx="285">
                  <c:v>10783.2</c:v>
                </c:pt>
                <c:pt idx="286">
                  <c:v>10776.2</c:v>
                </c:pt>
                <c:pt idx="287">
                  <c:v>10772</c:v>
                </c:pt>
                <c:pt idx="288">
                  <c:v>10771.3</c:v>
                </c:pt>
                <c:pt idx="289">
                  <c:v>10767.6</c:v>
                </c:pt>
                <c:pt idx="290">
                  <c:v>10760.4</c:v>
                </c:pt>
                <c:pt idx="291">
                  <c:v>10756.4</c:v>
                </c:pt>
                <c:pt idx="292">
                  <c:v>10731.7</c:v>
                </c:pt>
                <c:pt idx="293">
                  <c:v>10712.8</c:v>
                </c:pt>
                <c:pt idx="294">
                  <c:v>10711.2</c:v>
                </c:pt>
                <c:pt idx="295">
                  <c:v>10696.6</c:v>
                </c:pt>
                <c:pt idx="296">
                  <c:v>10616.1</c:v>
                </c:pt>
                <c:pt idx="297">
                  <c:v>10607</c:v>
                </c:pt>
                <c:pt idx="298">
                  <c:v>10571.1</c:v>
                </c:pt>
                <c:pt idx="299">
                  <c:v>10489.6</c:v>
                </c:pt>
                <c:pt idx="300">
                  <c:v>10476.9</c:v>
                </c:pt>
                <c:pt idx="301">
                  <c:v>10449</c:v>
                </c:pt>
                <c:pt idx="302">
                  <c:v>10368.700000000001</c:v>
                </c:pt>
                <c:pt idx="303">
                  <c:v>10352.799999999999</c:v>
                </c:pt>
                <c:pt idx="304">
                  <c:v>10332.799999999999</c:v>
                </c:pt>
                <c:pt idx="305">
                  <c:v>10313.5</c:v>
                </c:pt>
                <c:pt idx="306">
                  <c:v>10293</c:v>
                </c:pt>
                <c:pt idx="307">
                  <c:v>10290.6</c:v>
                </c:pt>
                <c:pt idx="308">
                  <c:v>10234.299999999999</c:v>
                </c:pt>
                <c:pt idx="309">
                  <c:v>10231.200000000001</c:v>
                </c:pt>
                <c:pt idx="310">
                  <c:v>10180.200000000001</c:v>
                </c:pt>
                <c:pt idx="311">
                  <c:v>10179.299999999999</c:v>
                </c:pt>
                <c:pt idx="312">
                  <c:v>10165</c:v>
                </c:pt>
                <c:pt idx="313">
                  <c:v>10160.5</c:v>
                </c:pt>
                <c:pt idx="314">
                  <c:v>10147.9</c:v>
                </c:pt>
                <c:pt idx="315">
                  <c:v>10141.700000000001</c:v>
                </c:pt>
                <c:pt idx="316">
                  <c:v>10122.5</c:v>
                </c:pt>
                <c:pt idx="317">
                  <c:v>10115.700000000001</c:v>
                </c:pt>
                <c:pt idx="318">
                  <c:v>10108</c:v>
                </c:pt>
                <c:pt idx="319">
                  <c:v>10095.5</c:v>
                </c:pt>
                <c:pt idx="320">
                  <c:v>10048.299999999999</c:v>
                </c:pt>
                <c:pt idx="321">
                  <c:v>9970.2000000000007</c:v>
                </c:pt>
                <c:pt idx="322">
                  <c:v>9949.6</c:v>
                </c:pt>
                <c:pt idx="323">
                  <c:v>9948.7000000000007</c:v>
                </c:pt>
                <c:pt idx="324">
                  <c:v>9933.4</c:v>
                </c:pt>
                <c:pt idx="325">
                  <c:v>9914.5</c:v>
                </c:pt>
                <c:pt idx="326">
                  <c:v>9914.4</c:v>
                </c:pt>
                <c:pt idx="327">
                  <c:v>9909.5</c:v>
                </c:pt>
                <c:pt idx="328">
                  <c:v>9899.4</c:v>
                </c:pt>
                <c:pt idx="329">
                  <c:v>9869.2999999999993</c:v>
                </c:pt>
                <c:pt idx="330">
                  <c:v>9862.6</c:v>
                </c:pt>
                <c:pt idx="331">
                  <c:v>9859.6</c:v>
                </c:pt>
                <c:pt idx="332">
                  <c:v>9854</c:v>
                </c:pt>
                <c:pt idx="333">
                  <c:v>9797.7999999999993</c:v>
                </c:pt>
                <c:pt idx="334">
                  <c:v>9734</c:v>
                </c:pt>
                <c:pt idx="335">
                  <c:v>9713</c:v>
                </c:pt>
                <c:pt idx="336">
                  <c:v>9666.1</c:v>
                </c:pt>
                <c:pt idx="337">
                  <c:v>9609</c:v>
                </c:pt>
                <c:pt idx="338">
                  <c:v>9513.7000000000007</c:v>
                </c:pt>
                <c:pt idx="339">
                  <c:v>9513</c:v>
                </c:pt>
                <c:pt idx="340">
                  <c:v>9503.2999999999993</c:v>
                </c:pt>
                <c:pt idx="341">
                  <c:v>9495.2000000000007</c:v>
                </c:pt>
                <c:pt idx="342">
                  <c:v>9439.9</c:v>
                </c:pt>
                <c:pt idx="343">
                  <c:v>9437.2999999999993</c:v>
                </c:pt>
                <c:pt idx="344">
                  <c:v>9401</c:v>
                </c:pt>
                <c:pt idx="345">
                  <c:v>9362.2999999999993</c:v>
                </c:pt>
                <c:pt idx="346">
                  <c:v>9340.1</c:v>
                </c:pt>
                <c:pt idx="347">
                  <c:v>9314.7999999999993</c:v>
                </c:pt>
                <c:pt idx="348">
                  <c:v>9302.9</c:v>
                </c:pt>
                <c:pt idx="349">
                  <c:v>9290.9</c:v>
                </c:pt>
                <c:pt idx="350">
                  <c:v>9213.5</c:v>
                </c:pt>
                <c:pt idx="351">
                  <c:v>9212.4</c:v>
                </c:pt>
                <c:pt idx="352">
                  <c:v>9206.7000000000007</c:v>
                </c:pt>
                <c:pt idx="353">
                  <c:v>9177.5</c:v>
                </c:pt>
                <c:pt idx="354">
                  <c:v>9121.6</c:v>
                </c:pt>
                <c:pt idx="355">
                  <c:v>9115.7000000000007</c:v>
                </c:pt>
                <c:pt idx="356">
                  <c:v>9107.5</c:v>
                </c:pt>
                <c:pt idx="357">
                  <c:v>9084.9</c:v>
                </c:pt>
                <c:pt idx="358">
                  <c:v>9076.4</c:v>
                </c:pt>
                <c:pt idx="359">
                  <c:v>9056.5</c:v>
                </c:pt>
                <c:pt idx="360">
                  <c:v>8988.2000000000007</c:v>
                </c:pt>
                <c:pt idx="361">
                  <c:v>8965</c:v>
                </c:pt>
                <c:pt idx="362">
                  <c:v>8960.1</c:v>
                </c:pt>
                <c:pt idx="363">
                  <c:v>8927.6</c:v>
                </c:pt>
                <c:pt idx="364">
                  <c:v>8916</c:v>
                </c:pt>
                <c:pt idx="365">
                  <c:v>8909.9</c:v>
                </c:pt>
                <c:pt idx="366">
                  <c:v>8906.9</c:v>
                </c:pt>
                <c:pt idx="367">
                  <c:v>8899.6</c:v>
                </c:pt>
                <c:pt idx="368">
                  <c:v>8848.2999999999993</c:v>
                </c:pt>
                <c:pt idx="369">
                  <c:v>8831</c:v>
                </c:pt>
                <c:pt idx="370">
                  <c:v>8828.7999999999993</c:v>
                </c:pt>
                <c:pt idx="371">
                  <c:v>8809.4</c:v>
                </c:pt>
                <c:pt idx="372">
                  <c:v>8801.6</c:v>
                </c:pt>
                <c:pt idx="373">
                  <c:v>8780.4</c:v>
                </c:pt>
                <c:pt idx="374">
                  <c:v>8779.9</c:v>
                </c:pt>
                <c:pt idx="375">
                  <c:v>8733</c:v>
                </c:pt>
                <c:pt idx="376">
                  <c:v>8715.2000000000007</c:v>
                </c:pt>
                <c:pt idx="377">
                  <c:v>8706.4</c:v>
                </c:pt>
                <c:pt idx="378">
                  <c:v>8699.2000000000007</c:v>
                </c:pt>
                <c:pt idx="379">
                  <c:v>8647.7999999999993</c:v>
                </c:pt>
                <c:pt idx="380">
                  <c:v>8622.1</c:v>
                </c:pt>
                <c:pt idx="381">
                  <c:v>8617.1</c:v>
                </c:pt>
                <c:pt idx="382">
                  <c:v>8591.1</c:v>
                </c:pt>
                <c:pt idx="383">
                  <c:v>8584.2000000000007</c:v>
                </c:pt>
                <c:pt idx="384">
                  <c:v>8564.5</c:v>
                </c:pt>
                <c:pt idx="385">
                  <c:v>8564.4</c:v>
                </c:pt>
                <c:pt idx="386">
                  <c:v>8551.4</c:v>
                </c:pt>
                <c:pt idx="387">
                  <c:v>8531.2999999999993</c:v>
                </c:pt>
                <c:pt idx="388">
                  <c:v>8509.5</c:v>
                </c:pt>
                <c:pt idx="389">
                  <c:v>8507.9</c:v>
                </c:pt>
                <c:pt idx="390">
                  <c:v>8485.9</c:v>
                </c:pt>
                <c:pt idx="391">
                  <c:v>8472.9</c:v>
                </c:pt>
                <c:pt idx="392">
                  <c:v>8457.4</c:v>
                </c:pt>
                <c:pt idx="393">
                  <c:v>8453.7000000000007</c:v>
                </c:pt>
                <c:pt idx="394">
                  <c:v>8439.5</c:v>
                </c:pt>
                <c:pt idx="395">
                  <c:v>8433.7999999999993</c:v>
                </c:pt>
                <c:pt idx="396">
                  <c:v>8382.9</c:v>
                </c:pt>
                <c:pt idx="397">
                  <c:v>8371.5</c:v>
                </c:pt>
                <c:pt idx="398">
                  <c:v>8370.9</c:v>
                </c:pt>
                <c:pt idx="399">
                  <c:v>8366.2999999999993</c:v>
                </c:pt>
                <c:pt idx="400">
                  <c:v>8339.2999999999993</c:v>
                </c:pt>
                <c:pt idx="401">
                  <c:v>8330.4</c:v>
                </c:pt>
                <c:pt idx="402">
                  <c:v>8326.7000000000007</c:v>
                </c:pt>
                <c:pt idx="403">
                  <c:v>8316.5</c:v>
                </c:pt>
                <c:pt idx="404">
                  <c:v>8309.1</c:v>
                </c:pt>
                <c:pt idx="405">
                  <c:v>8282.2999999999993</c:v>
                </c:pt>
                <c:pt idx="406">
                  <c:v>8278.7000000000007</c:v>
                </c:pt>
                <c:pt idx="407">
                  <c:v>8263</c:v>
                </c:pt>
                <c:pt idx="408">
                  <c:v>8240.2000000000007</c:v>
                </c:pt>
                <c:pt idx="409">
                  <c:v>8235.9</c:v>
                </c:pt>
                <c:pt idx="410">
                  <c:v>8216.5</c:v>
                </c:pt>
                <c:pt idx="411">
                  <c:v>8205.4</c:v>
                </c:pt>
                <c:pt idx="412">
                  <c:v>8203</c:v>
                </c:pt>
                <c:pt idx="413">
                  <c:v>8200.1</c:v>
                </c:pt>
                <c:pt idx="414">
                  <c:v>8197.2000000000007</c:v>
                </c:pt>
                <c:pt idx="415">
                  <c:v>8186.9</c:v>
                </c:pt>
                <c:pt idx="416">
                  <c:v>8164.9</c:v>
                </c:pt>
                <c:pt idx="417">
                  <c:v>8148</c:v>
                </c:pt>
                <c:pt idx="418">
                  <c:v>8092.2</c:v>
                </c:pt>
                <c:pt idx="419">
                  <c:v>8065.4</c:v>
                </c:pt>
                <c:pt idx="420">
                  <c:v>8063.4</c:v>
                </c:pt>
                <c:pt idx="421">
                  <c:v>8056.8</c:v>
                </c:pt>
                <c:pt idx="422">
                  <c:v>8043.6</c:v>
                </c:pt>
                <c:pt idx="423">
                  <c:v>8030.3</c:v>
                </c:pt>
                <c:pt idx="424">
                  <c:v>8019.9</c:v>
                </c:pt>
                <c:pt idx="425">
                  <c:v>8014.7</c:v>
                </c:pt>
                <c:pt idx="426">
                  <c:v>7987.3</c:v>
                </c:pt>
                <c:pt idx="427">
                  <c:v>7976.6</c:v>
                </c:pt>
                <c:pt idx="428">
                  <c:v>7940.4</c:v>
                </c:pt>
                <c:pt idx="429">
                  <c:v>7934.8</c:v>
                </c:pt>
                <c:pt idx="430">
                  <c:v>7934.5</c:v>
                </c:pt>
                <c:pt idx="431">
                  <c:v>7921.6</c:v>
                </c:pt>
                <c:pt idx="432">
                  <c:v>7892.9</c:v>
                </c:pt>
                <c:pt idx="433">
                  <c:v>7891.3</c:v>
                </c:pt>
                <c:pt idx="434">
                  <c:v>7886.9</c:v>
                </c:pt>
                <c:pt idx="435">
                  <c:v>7871.9</c:v>
                </c:pt>
                <c:pt idx="436">
                  <c:v>7852.2</c:v>
                </c:pt>
                <c:pt idx="437">
                  <c:v>7838.9</c:v>
                </c:pt>
                <c:pt idx="438">
                  <c:v>7824.1</c:v>
                </c:pt>
                <c:pt idx="439">
                  <c:v>7817.3</c:v>
                </c:pt>
                <c:pt idx="440">
                  <c:v>7810.5</c:v>
                </c:pt>
                <c:pt idx="441">
                  <c:v>7787.8</c:v>
                </c:pt>
                <c:pt idx="442">
                  <c:v>7785.3</c:v>
                </c:pt>
                <c:pt idx="443">
                  <c:v>7765.7</c:v>
                </c:pt>
                <c:pt idx="444">
                  <c:v>7738.2</c:v>
                </c:pt>
                <c:pt idx="445">
                  <c:v>7729.6</c:v>
                </c:pt>
                <c:pt idx="446">
                  <c:v>7713.9</c:v>
                </c:pt>
                <c:pt idx="447">
                  <c:v>7689.5</c:v>
                </c:pt>
                <c:pt idx="448">
                  <c:v>7673.1</c:v>
                </c:pt>
                <c:pt idx="449">
                  <c:v>7661.6</c:v>
                </c:pt>
                <c:pt idx="450">
                  <c:v>7645.2</c:v>
                </c:pt>
                <c:pt idx="451">
                  <c:v>7628.1</c:v>
                </c:pt>
                <c:pt idx="452">
                  <c:v>7618.8</c:v>
                </c:pt>
                <c:pt idx="453">
                  <c:v>7612.3</c:v>
                </c:pt>
                <c:pt idx="454">
                  <c:v>7608.2</c:v>
                </c:pt>
                <c:pt idx="455">
                  <c:v>7596.7</c:v>
                </c:pt>
                <c:pt idx="456">
                  <c:v>7589.1</c:v>
                </c:pt>
                <c:pt idx="457">
                  <c:v>7552.8</c:v>
                </c:pt>
                <c:pt idx="458">
                  <c:v>7550.3</c:v>
                </c:pt>
                <c:pt idx="459">
                  <c:v>7543.1</c:v>
                </c:pt>
                <c:pt idx="460">
                  <c:v>7503.2</c:v>
                </c:pt>
                <c:pt idx="461">
                  <c:v>7486.2</c:v>
                </c:pt>
                <c:pt idx="462">
                  <c:v>7485.1</c:v>
                </c:pt>
                <c:pt idx="463">
                  <c:v>7467.3</c:v>
                </c:pt>
                <c:pt idx="464">
                  <c:v>7453.2</c:v>
                </c:pt>
                <c:pt idx="465">
                  <c:v>7450.6</c:v>
                </c:pt>
                <c:pt idx="466">
                  <c:v>7431.9</c:v>
                </c:pt>
                <c:pt idx="467">
                  <c:v>7423.5</c:v>
                </c:pt>
                <c:pt idx="468">
                  <c:v>7416.8</c:v>
                </c:pt>
                <c:pt idx="469">
                  <c:v>7405.6</c:v>
                </c:pt>
                <c:pt idx="470">
                  <c:v>7388.4</c:v>
                </c:pt>
                <c:pt idx="471">
                  <c:v>7387.8</c:v>
                </c:pt>
                <c:pt idx="472">
                  <c:v>7377.9</c:v>
                </c:pt>
                <c:pt idx="473">
                  <c:v>7352.6</c:v>
                </c:pt>
                <c:pt idx="474">
                  <c:v>7347.9</c:v>
                </c:pt>
                <c:pt idx="475">
                  <c:v>7337.5</c:v>
                </c:pt>
                <c:pt idx="476">
                  <c:v>7335.2</c:v>
                </c:pt>
                <c:pt idx="477">
                  <c:v>7326.6</c:v>
                </c:pt>
                <c:pt idx="478">
                  <c:v>7313.2</c:v>
                </c:pt>
                <c:pt idx="479">
                  <c:v>7286.8</c:v>
                </c:pt>
                <c:pt idx="480">
                  <c:v>7277.6</c:v>
                </c:pt>
                <c:pt idx="481">
                  <c:v>7256.2</c:v>
                </c:pt>
                <c:pt idx="482">
                  <c:v>7252.1</c:v>
                </c:pt>
                <c:pt idx="483">
                  <c:v>7239.7</c:v>
                </c:pt>
                <c:pt idx="484">
                  <c:v>7237.6</c:v>
                </c:pt>
                <c:pt idx="485">
                  <c:v>7209.6</c:v>
                </c:pt>
                <c:pt idx="486">
                  <c:v>7192.6</c:v>
                </c:pt>
                <c:pt idx="487">
                  <c:v>7182.1</c:v>
                </c:pt>
                <c:pt idx="488">
                  <c:v>7123.4</c:v>
                </c:pt>
                <c:pt idx="489">
                  <c:v>7114.1</c:v>
                </c:pt>
                <c:pt idx="490">
                  <c:v>7073.7</c:v>
                </c:pt>
                <c:pt idx="491">
                  <c:v>7061.3</c:v>
                </c:pt>
                <c:pt idx="492">
                  <c:v>7059.2</c:v>
                </c:pt>
                <c:pt idx="493">
                  <c:v>7059.2</c:v>
                </c:pt>
                <c:pt idx="494">
                  <c:v>7048.5</c:v>
                </c:pt>
                <c:pt idx="495">
                  <c:v>7034.1</c:v>
                </c:pt>
                <c:pt idx="496">
                  <c:v>7029.1</c:v>
                </c:pt>
                <c:pt idx="497">
                  <c:v>7018.9</c:v>
                </c:pt>
                <c:pt idx="498">
                  <c:v>6976.4</c:v>
                </c:pt>
                <c:pt idx="499">
                  <c:v>6972</c:v>
                </c:pt>
              </c:numCache>
            </c:numRef>
          </c:val>
          <c:extLst>
            <c:ext xmlns:c16="http://schemas.microsoft.com/office/drawing/2014/chart" uri="{C3380CC4-5D6E-409C-BE32-E72D297353CC}">
              <c16:uniqueId val="{00000000-C0CC-4619-AE5F-F1AD47DEE04E}"/>
            </c:ext>
          </c:extLst>
        </c:ser>
        <c:dLbls>
          <c:showLegendKey val="0"/>
          <c:showVal val="0"/>
          <c:showCatName val="0"/>
          <c:showSerName val="0"/>
          <c:showPercent val="0"/>
          <c:showBubbleSize val="0"/>
        </c:dLbls>
        <c:gapWidth val="100"/>
        <c:overlap val="-24"/>
        <c:axId val="1336539823"/>
        <c:axId val="714600303"/>
      </c:barChart>
      <c:catAx>
        <c:axId val="1336539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600303"/>
        <c:crosses val="autoZero"/>
        <c:auto val="1"/>
        <c:lblAlgn val="ctr"/>
        <c:lblOffset val="100"/>
        <c:noMultiLvlLbl val="0"/>
      </c:catAx>
      <c:valAx>
        <c:axId val="7146003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653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6.svg"/><Relationship Id="rId18" Type="http://schemas.openxmlformats.org/officeDocument/2006/relationships/image" Target="../media/image9.png"/><Relationship Id="rId26" Type="http://schemas.openxmlformats.org/officeDocument/2006/relationships/hyperlink" Target="#'Year Analysis'!A1"/><Relationship Id="rId3" Type="http://schemas.openxmlformats.org/officeDocument/2006/relationships/chart" Target="../charts/chart3.xml"/><Relationship Id="rId21" Type="http://schemas.openxmlformats.org/officeDocument/2006/relationships/image" Target="../media/image11.png"/><Relationship Id="rId7" Type="http://schemas.openxmlformats.org/officeDocument/2006/relationships/image" Target="../media/image2.svg"/><Relationship Id="rId12" Type="http://schemas.openxmlformats.org/officeDocument/2006/relationships/image" Target="../media/image5.png"/><Relationship Id="rId17" Type="http://schemas.openxmlformats.org/officeDocument/2006/relationships/hyperlink" Target="#'Top Artists'!A1"/><Relationship Id="rId25" Type="http://schemas.openxmlformats.org/officeDocument/2006/relationships/image" Target="../media/image14.svg"/><Relationship Id="rId33" Type="http://schemas.openxmlformats.org/officeDocument/2006/relationships/image" Target="../media/image18.svg"/><Relationship Id="rId2" Type="http://schemas.openxmlformats.org/officeDocument/2006/relationships/chart" Target="../charts/chart2.xml"/><Relationship Id="rId16" Type="http://schemas.openxmlformats.org/officeDocument/2006/relationships/image" Target="../media/image8.svg"/><Relationship Id="rId20" Type="http://schemas.openxmlformats.org/officeDocument/2006/relationships/hyperlink" Target="#'Stream Per Country'!A1"/><Relationship Id="rId29" Type="http://schemas.openxmlformats.org/officeDocument/2006/relationships/chart" Target="../charts/chart5.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hyperlink" Target="#'Stream Per Artist'!A1"/><Relationship Id="rId24" Type="http://schemas.openxmlformats.org/officeDocument/2006/relationships/image" Target="../media/image13.png"/><Relationship Id="rId32" Type="http://schemas.openxmlformats.org/officeDocument/2006/relationships/image" Target="../media/image17.png"/><Relationship Id="rId5" Type="http://schemas.openxmlformats.org/officeDocument/2006/relationships/hyperlink" Target="#'Spotify Streaming Performance D'!A1"/><Relationship Id="rId15" Type="http://schemas.openxmlformats.org/officeDocument/2006/relationships/image" Target="../media/image7.png"/><Relationship Id="rId23" Type="http://schemas.openxmlformats.org/officeDocument/2006/relationships/hyperlink" Target="#'Group vs Solo Analysis'!A1"/><Relationship Id="rId28" Type="http://schemas.openxmlformats.org/officeDocument/2006/relationships/image" Target="../media/image16.svg"/><Relationship Id="rId10" Type="http://schemas.openxmlformats.org/officeDocument/2006/relationships/image" Target="../media/image4.svg"/><Relationship Id="rId19" Type="http://schemas.openxmlformats.org/officeDocument/2006/relationships/image" Target="../media/image10.svg"/><Relationship Id="rId31" Type="http://schemas.openxmlformats.org/officeDocument/2006/relationships/hyperlink" Target="#'Language based analysis'!A1"/><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hyperlink" Target="#'Stream Per Genre'!A1"/><Relationship Id="rId22" Type="http://schemas.openxmlformats.org/officeDocument/2006/relationships/image" Target="../media/image12.svg"/><Relationship Id="rId27" Type="http://schemas.openxmlformats.org/officeDocument/2006/relationships/image" Target="../media/image15.png"/><Relationship Id="rId30" Type="http://schemas.openxmlformats.org/officeDocument/2006/relationships/chart" Target="../charts/chart6.xml"/><Relationship Id="rId8" Type="http://schemas.openxmlformats.org/officeDocument/2006/relationships/hyperlink" Target="#'Sum,AvgStrm+collab%+CntOfArtist'!A1"/></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74464</xdr:colOff>
      <xdr:row>0</xdr:row>
      <xdr:rowOff>110966</xdr:rowOff>
    </xdr:from>
    <xdr:to>
      <xdr:col>16</xdr:col>
      <xdr:colOff>605481</xdr:colOff>
      <xdr:row>3</xdr:row>
      <xdr:rowOff>95726</xdr:rowOff>
    </xdr:to>
    <xdr:sp macro="" textlink="">
      <xdr:nvSpPr>
        <xdr:cNvPr id="3" name="Rectangle: Rounded Corners 2">
          <a:extLst>
            <a:ext uri="{FF2B5EF4-FFF2-40B4-BE49-F238E27FC236}">
              <a16:creationId xmlns:a16="http://schemas.microsoft.com/office/drawing/2014/main" id="{588736A3-52F5-839D-129D-F320E15D13E6}"/>
            </a:ext>
          </a:extLst>
        </xdr:cNvPr>
        <xdr:cNvSpPr/>
      </xdr:nvSpPr>
      <xdr:spPr>
        <a:xfrm>
          <a:off x="3741117" y="110966"/>
          <a:ext cx="6030998" cy="527968"/>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scene3d>
            <a:camera prst="orthographicFront"/>
            <a:lightRig rig="harsh" dir="t"/>
          </a:scene3d>
          <a:sp3d extrusionH="57150" prstMaterial="matte">
            <a:bevelT w="63500" h="12700" prst="angle"/>
            <a:contourClr>
              <a:schemeClr val="bg1">
                <a:lumMod val="65000"/>
              </a:schemeClr>
            </a:contourClr>
          </a:sp3d>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cap="none" spc="0">
              <a:ln/>
              <a:solidFill>
                <a:schemeClr val="accent3">
                  <a:lumMod val="40000"/>
                  <a:lumOff val="60000"/>
                </a:schemeClr>
              </a:solidFill>
              <a:effectLst>
                <a:glow rad="63500">
                  <a:schemeClr val="accent6">
                    <a:satMod val="175000"/>
                    <a:alpha val="40000"/>
                  </a:schemeClr>
                </a:glow>
              </a:effectLst>
              <a:latin typeface="+mn-lt"/>
              <a:ea typeface="+mn-ea"/>
              <a:cs typeface="+mn-cs"/>
            </a:rPr>
            <a:t>🎧 SPOTIFY STREAMING DASHBOARD</a:t>
          </a:r>
        </a:p>
      </xdr:txBody>
    </xdr:sp>
    <xdr:clientData/>
  </xdr:twoCellAnchor>
  <xdr:twoCellAnchor>
    <xdr:from>
      <xdr:col>7</xdr:col>
      <xdr:colOff>329293</xdr:colOff>
      <xdr:row>5</xdr:row>
      <xdr:rowOff>121920</xdr:rowOff>
    </xdr:from>
    <xdr:to>
      <xdr:col>9</xdr:col>
      <xdr:colOff>420733</xdr:colOff>
      <xdr:row>12</xdr:row>
      <xdr:rowOff>37630</xdr:rowOff>
    </xdr:to>
    <xdr:grpSp>
      <xdr:nvGrpSpPr>
        <xdr:cNvPr id="8" name="Group 7">
          <a:extLst>
            <a:ext uri="{FF2B5EF4-FFF2-40B4-BE49-F238E27FC236}">
              <a16:creationId xmlns:a16="http://schemas.microsoft.com/office/drawing/2014/main" id="{9A02699B-C59D-6255-0B98-EA71032AE6FD}"/>
            </a:ext>
          </a:extLst>
        </xdr:cNvPr>
        <xdr:cNvGrpSpPr/>
      </xdr:nvGrpSpPr>
      <xdr:grpSpPr>
        <a:xfrm>
          <a:off x="4581032" y="1060616"/>
          <a:ext cx="1306223" cy="1229884"/>
          <a:chOff x="606323" y="1023210"/>
          <a:chExt cx="1304085" cy="774373"/>
        </a:xfrm>
      </xdr:grpSpPr>
      <xdr:sp macro="" textlink="">
        <xdr:nvSpPr>
          <xdr:cNvPr id="5" name="TextBox 4">
            <a:extLst>
              <a:ext uri="{FF2B5EF4-FFF2-40B4-BE49-F238E27FC236}">
                <a16:creationId xmlns:a16="http://schemas.microsoft.com/office/drawing/2014/main" id="{27A7BA23-9F02-0D5C-828E-7BD3E8A5FAD0}"/>
              </a:ext>
            </a:extLst>
          </xdr:cNvPr>
          <xdr:cNvSpPr txBox="1"/>
        </xdr:nvSpPr>
        <xdr:spPr>
          <a:xfrm>
            <a:off x="606323" y="1023210"/>
            <a:ext cx="1304085" cy="383376"/>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US" sz="1400" b="1" cap="none" spc="0">
                <a:ln/>
                <a:solidFill>
                  <a:schemeClr val="accent3">
                    <a:lumMod val="40000"/>
                    <a:lumOff val="60000"/>
                  </a:schemeClr>
                </a:solidFill>
                <a:effectLst/>
              </a:rPr>
              <a:t>TOTAL STREAMS</a:t>
            </a:r>
          </a:p>
        </xdr:txBody>
      </xdr:sp>
      <xdr:sp macro="" textlink="'Sum,AvgStrm+collab%+CntOfArtist'!C4">
        <xdr:nvSpPr>
          <xdr:cNvPr id="7" name="TextBox 6">
            <a:extLst>
              <a:ext uri="{FF2B5EF4-FFF2-40B4-BE49-F238E27FC236}">
                <a16:creationId xmlns:a16="http://schemas.microsoft.com/office/drawing/2014/main" id="{9C29804D-666F-4168-BFFD-3D2B6EB2CE7B}"/>
              </a:ext>
            </a:extLst>
          </xdr:cNvPr>
          <xdr:cNvSpPr txBox="1"/>
        </xdr:nvSpPr>
        <xdr:spPr>
          <a:xfrm>
            <a:off x="606323" y="1414206"/>
            <a:ext cx="1304085" cy="383377"/>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algn="ctr"/>
            <a:fld id="{B528E768-0055-47B2-94E2-B8AD415B4365}" type="TxLink">
              <a:rPr lang="en-US" sz="2000" b="1" i="0" u="none" strike="noStrike" cap="none" spc="0">
                <a:ln/>
                <a:solidFill>
                  <a:schemeClr val="accent3">
                    <a:lumMod val="40000"/>
                    <a:lumOff val="60000"/>
                  </a:schemeClr>
                </a:solidFill>
                <a:effectLst/>
                <a:latin typeface="Aptos Narrow"/>
              </a:rPr>
              <a:pPr algn="ctr"/>
              <a:t>8408805.1</a:t>
            </a:fld>
            <a:endParaRPr lang="en-US" sz="3200" b="1" cap="none" spc="0">
              <a:ln/>
              <a:solidFill>
                <a:schemeClr val="accent3">
                  <a:lumMod val="40000"/>
                  <a:lumOff val="60000"/>
                </a:schemeClr>
              </a:solidFill>
              <a:effectLst/>
            </a:endParaRPr>
          </a:p>
        </xdr:txBody>
      </xdr:sp>
    </xdr:grpSp>
    <xdr:clientData/>
  </xdr:twoCellAnchor>
  <xdr:twoCellAnchor>
    <xdr:from>
      <xdr:col>10</xdr:col>
      <xdr:colOff>2972</xdr:colOff>
      <xdr:row>5</xdr:row>
      <xdr:rowOff>128282</xdr:rowOff>
    </xdr:from>
    <xdr:to>
      <xdr:col>12</xdr:col>
      <xdr:colOff>92627</xdr:colOff>
      <xdr:row>12</xdr:row>
      <xdr:rowOff>30238</xdr:rowOff>
    </xdr:to>
    <xdr:grpSp>
      <xdr:nvGrpSpPr>
        <xdr:cNvPr id="13" name="Group 12">
          <a:extLst>
            <a:ext uri="{FF2B5EF4-FFF2-40B4-BE49-F238E27FC236}">
              <a16:creationId xmlns:a16="http://schemas.microsoft.com/office/drawing/2014/main" id="{EBDB9F76-10BC-2918-9B1C-894BD4EA598A}"/>
            </a:ext>
          </a:extLst>
        </xdr:cNvPr>
        <xdr:cNvGrpSpPr/>
      </xdr:nvGrpSpPr>
      <xdr:grpSpPr>
        <a:xfrm>
          <a:off x="6076885" y="1066978"/>
          <a:ext cx="1304438" cy="1216130"/>
          <a:chOff x="2438400" y="1028682"/>
          <a:chExt cx="1310640" cy="780153"/>
        </a:xfrm>
      </xdr:grpSpPr>
      <xdr:sp macro="" textlink="">
        <xdr:nvSpPr>
          <xdr:cNvPr id="10" name="TextBox 9">
            <a:extLst>
              <a:ext uri="{FF2B5EF4-FFF2-40B4-BE49-F238E27FC236}">
                <a16:creationId xmlns:a16="http://schemas.microsoft.com/office/drawing/2014/main" id="{FB524C37-3A07-4630-AE93-9E8C95AD1AA1}"/>
              </a:ext>
            </a:extLst>
          </xdr:cNvPr>
          <xdr:cNvSpPr txBox="1"/>
        </xdr:nvSpPr>
        <xdr:spPr>
          <a:xfrm>
            <a:off x="2438400" y="1028682"/>
            <a:ext cx="1310640" cy="385680"/>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US" sz="1500" b="1" cap="none" spc="0">
                <a:ln/>
                <a:solidFill>
                  <a:schemeClr val="accent3">
                    <a:lumMod val="40000"/>
                    <a:lumOff val="60000"/>
                  </a:schemeClr>
                </a:solidFill>
                <a:effectLst/>
              </a:rPr>
              <a:t>TOTAL ARTIST</a:t>
            </a:r>
          </a:p>
        </xdr:txBody>
      </xdr:sp>
      <xdr:sp macro="" textlink="'Sum,AvgStrm+collab%+CntOfArtist'!C8">
        <xdr:nvSpPr>
          <xdr:cNvPr id="12" name="TextBox 11">
            <a:extLst>
              <a:ext uri="{FF2B5EF4-FFF2-40B4-BE49-F238E27FC236}">
                <a16:creationId xmlns:a16="http://schemas.microsoft.com/office/drawing/2014/main" id="{7D7D4CC1-E5CB-419D-9869-0E473A975878}"/>
              </a:ext>
            </a:extLst>
          </xdr:cNvPr>
          <xdr:cNvSpPr txBox="1"/>
        </xdr:nvSpPr>
        <xdr:spPr>
          <a:xfrm>
            <a:off x="2438400" y="1423153"/>
            <a:ext cx="1310640" cy="385682"/>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marL="0" indent="0" algn="ctr"/>
            <a:fld id="{42953047-2845-4977-9E14-F3F8D57B967A}" type="TxLink">
              <a:rPr lang="en-US" sz="3600" b="1" i="0" u="none" strike="noStrike" cap="none" spc="0">
                <a:ln/>
                <a:solidFill>
                  <a:schemeClr val="accent3">
                    <a:lumMod val="40000"/>
                    <a:lumOff val="60000"/>
                  </a:schemeClr>
                </a:solidFill>
                <a:effectLst/>
                <a:latin typeface="Aptos Narrow"/>
                <a:ea typeface="+mn-ea"/>
                <a:cs typeface="+mn-cs"/>
              </a:rPr>
              <a:pPr marL="0" indent="0" algn="ctr"/>
              <a:t>500</a:t>
            </a:fld>
            <a:endParaRPr lang="en-US" sz="3600" b="1" i="0" u="none" strike="noStrike" cap="none" spc="0">
              <a:ln/>
              <a:solidFill>
                <a:schemeClr val="accent3">
                  <a:lumMod val="40000"/>
                  <a:lumOff val="60000"/>
                </a:schemeClr>
              </a:solidFill>
              <a:effectLst/>
              <a:latin typeface="Aptos Narrow"/>
              <a:ea typeface="+mn-ea"/>
              <a:cs typeface="+mn-cs"/>
            </a:endParaRPr>
          </a:p>
        </xdr:txBody>
      </xdr:sp>
    </xdr:grpSp>
    <xdr:clientData/>
  </xdr:twoCellAnchor>
  <xdr:twoCellAnchor>
    <xdr:from>
      <xdr:col>12</xdr:col>
      <xdr:colOff>293163</xdr:colOff>
      <xdr:row>5</xdr:row>
      <xdr:rowOff>116113</xdr:rowOff>
    </xdr:from>
    <xdr:to>
      <xdr:col>14</xdr:col>
      <xdr:colOff>384603</xdr:colOff>
      <xdr:row>12</xdr:row>
      <xdr:rowOff>30238</xdr:rowOff>
    </xdr:to>
    <xdr:grpSp>
      <xdr:nvGrpSpPr>
        <xdr:cNvPr id="17" name="Group 16">
          <a:extLst>
            <a:ext uri="{FF2B5EF4-FFF2-40B4-BE49-F238E27FC236}">
              <a16:creationId xmlns:a16="http://schemas.microsoft.com/office/drawing/2014/main" id="{C81EB22F-BCCC-4B7D-9FA3-C438198512AE}"/>
            </a:ext>
          </a:extLst>
        </xdr:cNvPr>
        <xdr:cNvGrpSpPr/>
      </xdr:nvGrpSpPr>
      <xdr:grpSpPr>
        <a:xfrm>
          <a:off x="7581859" y="1054809"/>
          <a:ext cx="1306222" cy="1228299"/>
          <a:chOff x="2438400" y="1028682"/>
          <a:chExt cx="1310640" cy="780153"/>
        </a:xfrm>
      </xdr:grpSpPr>
      <xdr:sp macro="" textlink="">
        <xdr:nvSpPr>
          <xdr:cNvPr id="18" name="TextBox 17">
            <a:extLst>
              <a:ext uri="{FF2B5EF4-FFF2-40B4-BE49-F238E27FC236}">
                <a16:creationId xmlns:a16="http://schemas.microsoft.com/office/drawing/2014/main" id="{18C178D7-1391-911F-0C84-96BAEE493767}"/>
              </a:ext>
            </a:extLst>
          </xdr:cNvPr>
          <xdr:cNvSpPr txBox="1"/>
        </xdr:nvSpPr>
        <xdr:spPr>
          <a:xfrm>
            <a:off x="2438400" y="1028682"/>
            <a:ext cx="1310640" cy="385680"/>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marL="0" indent="0" algn="ctr"/>
            <a:r>
              <a:rPr lang="en-US" sz="1400" b="1" i="0" u="none" strike="noStrike" cap="none" spc="0">
                <a:ln/>
                <a:solidFill>
                  <a:schemeClr val="accent3">
                    <a:lumMod val="40000"/>
                    <a:lumOff val="60000"/>
                  </a:schemeClr>
                </a:solidFill>
                <a:effectLst/>
                <a:latin typeface="Aptos Narrow"/>
                <a:ea typeface="+mn-ea"/>
                <a:cs typeface="+mn-cs"/>
              </a:rPr>
              <a:t>AVERAGE STREAM</a:t>
            </a:r>
          </a:p>
        </xdr:txBody>
      </xdr:sp>
      <xdr:sp macro="" textlink="'Sum,AvgStrm+collab%+CntOfArtist'!C12">
        <xdr:nvSpPr>
          <xdr:cNvPr id="19" name="TextBox 18">
            <a:extLst>
              <a:ext uri="{FF2B5EF4-FFF2-40B4-BE49-F238E27FC236}">
                <a16:creationId xmlns:a16="http://schemas.microsoft.com/office/drawing/2014/main" id="{BA03CDC9-9409-A63E-75B3-5CA5A0DC8E75}"/>
              </a:ext>
            </a:extLst>
          </xdr:cNvPr>
          <xdr:cNvSpPr txBox="1"/>
        </xdr:nvSpPr>
        <xdr:spPr>
          <a:xfrm>
            <a:off x="2438400" y="1423153"/>
            <a:ext cx="1310640" cy="385682"/>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marL="0" indent="0" algn="ctr"/>
            <a:fld id="{BF26021D-FD7B-4908-AFB8-CB705E2C0609}" type="TxLink">
              <a:rPr lang="en-US" sz="2000" b="1" i="0" u="none" strike="noStrike" cap="none" spc="0">
                <a:ln/>
                <a:solidFill>
                  <a:schemeClr val="accent3">
                    <a:lumMod val="40000"/>
                    <a:lumOff val="60000"/>
                  </a:schemeClr>
                </a:solidFill>
                <a:effectLst/>
                <a:latin typeface="Aptos Narrow"/>
                <a:ea typeface="+mn-ea"/>
                <a:cs typeface="+mn-cs"/>
              </a:rPr>
              <a:pPr marL="0" indent="0" algn="ctr"/>
              <a:t>16817.6102</a:t>
            </a:fld>
            <a:endParaRPr lang="en-US" sz="2000" b="1" i="0" u="none" strike="noStrike" cap="none" spc="0">
              <a:ln/>
              <a:solidFill>
                <a:schemeClr val="accent3">
                  <a:lumMod val="40000"/>
                  <a:lumOff val="60000"/>
                </a:schemeClr>
              </a:solidFill>
              <a:effectLst/>
              <a:latin typeface="Aptos Narrow"/>
              <a:ea typeface="+mn-ea"/>
              <a:cs typeface="+mn-cs"/>
            </a:endParaRPr>
          </a:p>
        </xdr:txBody>
      </xdr:sp>
    </xdr:grpSp>
    <xdr:clientData/>
  </xdr:twoCellAnchor>
  <xdr:twoCellAnchor>
    <xdr:from>
      <xdr:col>20</xdr:col>
      <xdr:colOff>142328</xdr:colOff>
      <xdr:row>5</xdr:row>
      <xdr:rowOff>115561</xdr:rowOff>
    </xdr:from>
    <xdr:to>
      <xdr:col>23</xdr:col>
      <xdr:colOff>69273</xdr:colOff>
      <xdr:row>12</xdr:row>
      <xdr:rowOff>18142</xdr:rowOff>
    </xdr:to>
    <xdr:grpSp>
      <xdr:nvGrpSpPr>
        <xdr:cNvPr id="2" name="Group 1">
          <a:extLst>
            <a:ext uri="{FF2B5EF4-FFF2-40B4-BE49-F238E27FC236}">
              <a16:creationId xmlns:a16="http://schemas.microsoft.com/office/drawing/2014/main" id="{A06F1D72-7AE7-AADE-CA0A-ECAEF5B4DBE4}"/>
            </a:ext>
          </a:extLst>
        </xdr:cNvPr>
        <xdr:cNvGrpSpPr/>
      </xdr:nvGrpSpPr>
      <xdr:grpSpPr>
        <a:xfrm>
          <a:off x="12290154" y="1054257"/>
          <a:ext cx="1749119" cy="1216755"/>
          <a:chOff x="9704014" y="1013591"/>
          <a:chExt cx="1624836" cy="785118"/>
        </a:xfrm>
      </xdr:grpSpPr>
      <xdr:sp macro="" textlink="">
        <xdr:nvSpPr>
          <xdr:cNvPr id="36" name="TextBox 35">
            <a:extLst>
              <a:ext uri="{FF2B5EF4-FFF2-40B4-BE49-F238E27FC236}">
                <a16:creationId xmlns:a16="http://schemas.microsoft.com/office/drawing/2014/main" id="{242FCE5D-FE99-30D5-0EE0-3AF5594B1C18}"/>
              </a:ext>
            </a:extLst>
          </xdr:cNvPr>
          <xdr:cNvSpPr txBox="1"/>
        </xdr:nvSpPr>
        <xdr:spPr>
          <a:xfrm>
            <a:off x="9704014" y="1013591"/>
            <a:ext cx="1624836" cy="388135"/>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marL="0" indent="0" algn="ctr"/>
            <a:r>
              <a:rPr lang="en-US" sz="1500" b="1" i="0" u="none" strike="noStrike" cap="none" spc="0">
                <a:ln/>
                <a:solidFill>
                  <a:schemeClr val="accent3">
                    <a:lumMod val="40000"/>
                    <a:lumOff val="60000"/>
                  </a:schemeClr>
                </a:solidFill>
                <a:effectLst/>
                <a:latin typeface="Aptos Narrow"/>
                <a:ea typeface="+mn-ea"/>
                <a:cs typeface="+mn-cs"/>
              </a:rPr>
              <a:t>COLLABORATIVE</a:t>
            </a:r>
            <a:r>
              <a:rPr lang="en-US" sz="1500" b="1" i="0" u="none" strike="noStrike" cap="none" spc="0" baseline="0">
                <a:ln/>
                <a:solidFill>
                  <a:schemeClr val="accent3">
                    <a:lumMod val="40000"/>
                    <a:lumOff val="60000"/>
                  </a:schemeClr>
                </a:solidFill>
                <a:effectLst/>
                <a:latin typeface="Aptos Narrow"/>
                <a:ea typeface="+mn-ea"/>
                <a:cs typeface="+mn-cs"/>
              </a:rPr>
              <a:t> RATE</a:t>
            </a:r>
            <a:endParaRPr lang="en-US" sz="1500" b="1" i="0" u="none" strike="noStrike" cap="none" spc="0">
              <a:ln/>
              <a:solidFill>
                <a:schemeClr val="accent3">
                  <a:lumMod val="40000"/>
                  <a:lumOff val="60000"/>
                </a:schemeClr>
              </a:solidFill>
              <a:effectLst/>
              <a:latin typeface="Aptos Narrow"/>
              <a:ea typeface="+mn-ea"/>
              <a:cs typeface="+mn-cs"/>
            </a:endParaRPr>
          </a:p>
        </xdr:txBody>
      </xdr:sp>
      <xdr:sp macro="" textlink="'Sum,AvgStrm+collab%+CntOfArtist'!C16">
        <xdr:nvSpPr>
          <xdr:cNvPr id="37" name="TextBox 36">
            <a:extLst>
              <a:ext uri="{FF2B5EF4-FFF2-40B4-BE49-F238E27FC236}">
                <a16:creationId xmlns:a16="http://schemas.microsoft.com/office/drawing/2014/main" id="{61DD4C0F-07CF-EA5C-2EE7-1140139370D4}"/>
              </a:ext>
            </a:extLst>
          </xdr:cNvPr>
          <xdr:cNvSpPr txBox="1"/>
        </xdr:nvSpPr>
        <xdr:spPr>
          <a:xfrm>
            <a:off x="9704014" y="1410572"/>
            <a:ext cx="1624836" cy="388137"/>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marL="0" indent="0" algn="ctr"/>
            <a:fld id="{C78E9165-CCD9-4330-A713-334D36BF9E97}" type="TxLink">
              <a:rPr lang="en-US" sz="3200" b="1" i="0" u="none" strike="noStrike" cap="none" spc="0">
                <a:ln/>
                <a:solidFill>
                  <a:schemeClr val="accent3">
                    <a:lumMod val="40000"/>
                    <a:lumOff val="60000"/>
                  </a:schemeClr>
                </a:solidFill>
                <a:effectLst/>
                <a:latin typeface="Aptos Narrow"/>
                <a:ea typeface="+mn-ea"/>
                <a:cs typeface="+mn-cs"/>
              </a:rPr>
              <a:pPr marL="0" indent="0" algn="ctr"/>
              <a:t>49%</a:t>
            </a:fld>
            <a:endParaRPr lang="en-US" sz="3200" b="1" i="0" u="none" strike="noStrike" cap="none" spc="0">
              <a:ln/>
              <a:solidFill>
                <a:schemeClr val="accent3">
                  <a:lumMod val="40000"/>
                  <a:lumOff val="60000"/>
                </a:schemeClr>
              </a:solidFill>
              <a:effectLst/>
              <a:latin typeface="Aptos Narrow"/>
              <a:ea typeface="+mn-ea"/>
              <a:cs typeface="+mn-cs"/>
            </a:endParaRPr>
          </a:p>
        </xdr:txBody>
      </xdr:sp>
    </xdr:grpSp>
    <xdr:clientData/>
  </xdr:twoCellAnchor>
  <xdr:twoCellAnchor>
    <xdr:from>
      <xdr:col>17</xdr:col>
      <xdr:colOff>340841</xdr:colOff>
      <xdr:row>5</xdr:row>
      <xdr:rowOff>112608</xdr:rowOff>
    </xdr:from>
    <xdr:to>
      <xdr:col>19</xdr:col>
      <xdr:colOff>597088</xdr:colOff>
      <xdr:row>12</xdr:row>
      <xdr:rowOff>20367</xdr:rowOff>
    </xdr:to>
    <xdr:grpSp>
      <xdr:nvGrpSpPr>
        <xdr:cNvPr id="40" name="Group 39">
          <a:extLst>
            <a:ext uri="{FF2B5EF4-FFF2-40B4-BE49-F238E27FC236}">
              <a16:creationId xmlns:a16="http://schemas.microsoft.com/office/drawing/2014/main" id="{9E07021F-8E30-C117-9C44-6E3624C8A807}"/>
            </a:ext>
          </a:extLst>
        </xdr:cNvPr>
        <xdr:cNvGrpSpPr/>
      </xdr:nvGrpSpPr>
      <xdr:grpSpPr>
        <a:xfrm>
          <a:off x="10666493" y="1051304"/>
          <a:ext cx="1471030" cy="1221933"/>
          <a:chOff x="6087795" y="1033862"/>
          <a:chExt cx="1310313" cy="1200851"/>
        </a:xfrm>
      </xdr:grpSpPr>
      <xdr:grpSp>
        <xdr:nvGrpSpPr>
          <xdr:cNvPr id="23" name="Group 22">
            <a:extLst>
              <a:ext uri="{FF2B5EF4-FFF2-40B4-BE49-F238E27FC236}">
                <a16:creationId xmlns:a16="http://schemas.microsoft.com/office/drawing/2014/main" id="{CF5A830F-DD10-49AF-8498-A8616BD37291}"/>
              </a:ext>
            </a:extLst>
          </xdr:cNvPr>
          <xdr:cNvGrpSpPr/>
        </xdr:nvGrpSpPr>
        <xdr:grpSpPr>
          <a:xfrm>
            <a:off x="6087795" y="1033862"/>
            <a:ext cx="1307561" cy="795744"/>
            <a:chOff x="2438400" y="1028682"/>
            <a:chExt cx="1310640" cy="780153"/>
          </a:xfrm>
        </xdr:grpSpPr>
        <xdr:sp macro="" textlink="">
          <xdr:nvSpPr>
            <xdr:cNvPr id="24" name="TextBox 23">
              <a:extLst>
                <a:ext uri="{FF2B5EF4-FFF2-40B4-BE49-F238E27FC236}">
                  <a16:creationId xmlns:a16="http://schemas.microsoft.com/office/drawing/2014/main" id="{6881F492-CAF1-FBE8-11AB-62DCBD15FC2C}"/>
                </a:ext>
              </a:extLst>
            </xdr:cNvPr>
            <xdr:cNvSpPr txBox="1"/>
          </xdr:nvSpPr>
          <xdr:spPr>
            <a:xfrm>
              <a:off x="2438400" y="1028682"/>
              <a:ext cx="1310640" cy="385680"/>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marL="0" indent="0" algn="ctr"/>
              <a:r>
                <a:rPr lang="en-US" sz="1400" b="1" i="0" u="none" strike="noStrike" cap="none" spc="0">
                  <a:ln/>
                  <a:solidFill>
                    <a:schemeClr val="accent3">
                      <a:lumMod val="40000"/>
                      <a:lumOff val="60000"/>
                    </a:schemeClr>
                  </a:solidFill>
                  <a:effectLst/>
                  <a:latin typeface="Aptos Narrow"/>
                  <a:ea typeface="+mn-ea"/>
                  <a:cs typeface="+mn-cs"/>
                </a:rPr>
                <a:t>ARTIST STREAM</a:t>
              </a:r>
            </a:p>
          </xdr:txBody>
        </xdr:sp>
        <xdr:sp macro="" textlink="'Stream Per Artist'!A2">
          <xdr:nvSpPr>
            <xdr:cNvPr id="25" name="TextBox 24">
              <a:extLst>
                <a:ext uri="{FF2B5EF4-FFF2-40B4-BE49-F238E27FC236}">
                  <a16:creationId xmlns:a16="http://schemas.microsoft.com/office/drawing/2014/main" id="{193EFD53-A2E8-A750-98EB-3042F5A7CD5A}"/>
                </a:ext>
              </a:extLst>
            </xdr:cNvPr>
            <xdr:cNvSpPr txBox="1"/>
          </xdr:nvSpPr>
          <xdr:spPr>
            <a:xfrm>
              <a:off x="2438400" y="1423153"/>
              <a:ext cx="1310640" cy="385682"/>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marL="0" indent="0" algn="ctr"/>
              <a:fld id="{7D018753-C5E7-4032-93B6-06B8F341C2BA}" type="TxLink">
                <a:rPr lang="en-US" sz="2000" b="1" i="0" u="none" strike="noStrike" cap="none" spc="0">
                  <a:ln/>
                  <a:solidFill>
                    <a:schemeClr val="accent3">
                      <a:lumMod val="40000"/>
                      <a:lumOff val="60000"/>
                    </a:schemeClr>
                  </a:solidFill>
                  <a:effectLst/>
                  <a:latin typeface="Aptos Narrow"/>
                  <a:ea typeface="+mn-ea"/>
                  <a:cs typeface="+mn-cs"/>
                </a:rPr>
                <a:pPr marL="0" indent="0" algn="ctr"/>
                <a:t>Drake</a:t>
              </a:fld>
              <a:endParaRPr lang="en-US" sz="2000" b="1" i="0" u="none" strike="noStrike" cap="none" spc="0">
                <a:ln/>
                <a:solidFill>
                  <a:schemeClr val="accent3">
                    <a:lumMod val="40000"/>
                    <a:lumOff val="60000"/>
                  </a:schemeClr>
                </a:solidFill>
                <a:effectLst/>
                <a:latin typeface="Aptos Narrow"/>
                <a:ea typeface="+mn-ea"/>
                <a:cs typeface="+mn-cs"/>
              </a:endParaRPr>
            </a:p>
          </xdr:txBody>
        </xdr:sp>
      </xdr:grpSp>
      <xdr:sp macro="" textlink="'Stream Per Artist'!D2">
        <xdr:nvSpPr>
          <xdr:cNvPr id="39" name="TextBox 38">
            <a:extLst>
              <a:ext uri="{FF2B5EF4-FFF2-40B4-BE49-F238E27FC236}">
                <a16:creationId xmlns:a16="http://schemas.microsoft.com/office/drawing/2014/main" id="{979C3673-088A-4455-B457-20C61AB57FD0}"/>
              </a:ext>
            </a:extLst>
          </xdr:cNvPr>
          <xdr:cNvSpPr txBox="1"/>
        </xdr:nvSpPr>
        <xdr:spPr>
          <a:xfrm>
            <a:off x="6090547" y="1841139"/>
            <a:ext cx="1307561" cy="393574"/>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marL="0" indent="0" algn="ctr"/>
            <a:fld id="{A23988DB-6AD6-47F8-B3B0-B22CD52ABAFD}" type="TxLink">
              <a:rPr lang="en-US" sz="2000" b="1" i="0" u="none" strike="noStrike" cap="none" spc="0">
                <a:ln/>
                <a:solidFill>
                  <a:schemeClr val="accent3">
                    <a:lumMod val="40000"/>
                    <a:lumOff val="60000"/>
                  </a:schemeClr>
                </a:solidFill>
                <a:effectLst/>
                <a:latin typeface="Aptos Narrow"/>
                <a:ea typeface="+mn-ea"/>
                <a:cs typeface="+mn-cs"/>
              </a:rPr>
              <a:pPr marL="0" indent="0" algn="ctr"/>
              <a:t>137492.1</a:t>
            </a:fld>
            <a:endParaRPr lang="en-US" sz="2000" b="1" i="0" u="none" strike="noStrike" cap="none" spc="0">
              <a:ln/>
              <a:solidFill>
                <a:schemeClr val="accent3">
                  <a:lumMod val="40000"/>
                  <a:lumOff val="60000"/>
                </a:schemeClr>
              </a:solidFill>
              <a:effectLst/>
              <a:latin typeface="Aptos Narrow"/>
              <a:ea typeface="+mn-ea"/>
              <a:cs typeface="+mn-cs"/>
            </a:endParaRPr>
          </a:p>
        </xdr:txBody>
      </xdr:sp>
    </xdr:grpSp>
    <xdr:clientData/>
  </xdr:twoCellAnchor>
  <xdr:twoCellAnchor>
    <xdr:from>
      <xdr:col>4</xdr:col>
      <xdr:colOff>133825</xdr:colOff>
      <xdr:row>5</xdr:row>
      <xdr:rowOff>122793</xdr:rowOff>
    </xdr:from>
    <xdr:to>
      <xdr:col>7</xdr:col>
      <xdr:colOff>133844</xdr:colOff>
      <xdr:row>12</xdr:row>
      <xdr:rowOff>40114</xdr:rowOff>
    </xdr:to>
    <xdr:grpSp>
      <xdr:nvGrpSpPr>
        <xdr:cNvPr id="15" name="Group 14">
          <a:extLst>
            <a:ext uri="{FF2B5EF4-FFF2-40B4-BE49-F238E27FC236}">
              <a16:creationId xmlns:a16="http://schemas.microsoft.com/office/drawing/2014/main" id="{A961DE75-876F-4B20-F1C7-72AEF743B6E0}"/>
            </a:ext>
          </a:extLst>
        </xdr:cNvPr>
        <xdr:cNvGrpSpPr/>
      </xdr:nvGrpSpPr>
      <xdr:grpSpPr>
        <a:xfrm>
          <a:off x="2563390" y="1061489"/>
          <a:ext cx="1822193" cy="1231495"/>
          <a:chOff x="7889735" y="1016969"/>
          <a:chExt cx="1305245" cy="1191817"/>
        </a:xfrm>
      </xdr:grpSpPr>
      <xdr:grpSp>
        <xdr:nvGrpSpPr>
          <xdr:cNvPr id="29" name="Group 28">
            <a:extLst>
              <a:ext uri="{FF2B5EF4-FFF2-40B4-BE49-F238E27FC236}">
                <a16:creationId xmlns:a16="http://schemas.microsoft.com/office/drawing/2014/main" id="{A48FFE66-7E40-4233-AA2F-D899FBB42BFA}"/>
              </a:ext>
            </a:extLst>
          </xdr:cNvPr>
          <xdr:cNvGrpSpPr/>
        </xdr:nvGrpSpPr>
        <xdr:grpSpPr>
          <a:xfrm>
            <a:off x="7892001" y="1016969"/>
            <a:ext cx="1302979" cy="785118"/>
            <a:chOff x="2438400" y="1028682"/>
            <a:chExt cx="1310640" cy="780153"/>
          </a:xfrm>
        </xdr:grpSpPr>
        <xdr:sp macro="" textlink="">
          <xdr:nvSpPr>
            <xdr:cNvPr id="30" name="TextBox 29">
              <a:extLst>
                <a:ext uri="{FF2B5EF4-FFF2-40B4-BE49-F238E27FC236}">
                  <a16:creationId xmlns:a16="http://schemas.microsoft.com/office/drawing/2014/main" id="{C37BDB52-B8D5-9F4B-146F-283398071B9D}"/>
                </a:ext>
              </a:extLst>
            </xdr:cNvPr>
            <xdr:cNvSpPr txBox="1"/>
          </xdr:nvSpPr>
          <xdr:spPr>
            <a:xfrm>
              <a:off x="2438400" y="1028682"/>
              <a:ext cx="1310640" cy="385680"/>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marL="0" indent="0" algn="ctr"/>
              <a:r>
                <a:rPr lang="en-US" sz="1400" b="1" i="0" u="none" strike="noStrike" cap="none" spc="0">
                  <a:ln/>
                  <a:solidFill>
                    <a:schemeClr val="accent3">
                      <a:lumMod val="40000"/>
                      <a:lumOff val="60000"/>
                    </a:schemeClr>
                  </a:solidFill>
                  <a:effectLst/>
                  <a:latin typeface="Aptos Narrow"/>
                  <a:ea typeface="+mn-ea"/>
                  <a:cs typeface="+mn-cs"/>
                </a:rPr>
                <a:t>STREAMS PER GENRE</a:t>
              </a:r>
            </a:p>
          </xdr:txBody>
        </xdr:sp>
        <xdr:sp macro="" textlink="'Stream Per Genre'!A2">
          <xdr:nvSpPr>
            <xdr:cNvPr id="31" name="TextBox 30">
              <a:extLst>
                <a:ext uri="{FF2B5EF4-FFF2-40B4-BE49-F238E27FC236}">
                  <a16:creationId xmlns:a16="http://schemas.microsoft.com/office/drawing/2014/main" id="{A141AA13-D159-90E9-55B5-ACC4ABDB9B5E}"/>
                </a:ext>
              </a:extLst>
            </xdr:cNvPr>
            <xdr:cNvSpPr txBox="1"/>
          </xdr:nvSpPr>
          <xdr:spPr>
            <a:xfrm>
              <a:off x="2438400" y="1423153"/>
              <a:ext cx="1310640" cy="385682"/>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marL="0" indent="0" algn="ctr"/>
              <a:fld id="{138DF3D1-09DA-4AA4-A71E-EF86A86BFF18}" type="TxLink">
                <a:rPr lang="en-US" sz="2000" b="1" i="0" u="none" strike="noStrike" cap="none" spc="0">
                  <a:ln/>
                  <a:solidFill>
                    <a:schemeClr val="accent3">
                      <a:lumMod val="40000"/>
                      <a:lumOff val="60000"/>
                    </a:schemeClr>
                  </a:solidFill>
                  <a:effectLst/>
                  <a:latin typeface="Aptos Narrow"/>
                  <a:ea typeface="+mn-ea"/>
                  <a:cs typeface="+mn-cs"/>
                </a:rPr>
                <a:pPr marL="0" indent="0" algn="ctr"/>
                <a:t>Afrobeats</a:t>
              </a:fld>
              <a:endParaRPr lang="en-US" sz="2000" b="1" i="0" u="none" strike="noStrike" cap="none" spc="0">
                <a:ln/>
                <a:solidFill>
                  <a:schemeClr val="accent3">
                    <a:lumMod val="40000"/>
                    <a:lumOff val="60000"/>
                  </a:schemeClr>
                </a:solidFill>
                <a:effectLst/>
                <a:latin typeface="Aptos Narrow"/>
                <a:ea typeface="+mn-ea"/>
                <a:cs typeface="+mn-cs"/>
              </a:endParaRPr>
            </a:p>
          </xdr:txBody>
        </xdr:sp>
      </xdr:grpSp>
      <xdr:sp macro="" textlink="'Stream Per Genre'!D2">
        <xdr:nvSpPr>
          <xdr:cNvPr id="41" name="TextBox 40">
            <a:extLst>
              <a:ext uri="{FF2B5EF4-FFF2-40B4-BE49-F238E27FC236}">
                <a16:creationId xmlns:a16="http://schemas.microsoft.com/office/drawing/2014/main" id="{CB2B9A9E-06E4-4D29-A27F-80A61B7D7A35}"/>
              </a:ext>
            </a:extLst>
          </xdr:cNvPr>
          <xdr:cNvSpPr txBox="1"/>
        </xdr:nvSpPr>
        <xdr:spPr>
          <a:xfrm>
            <a:off x="7889735" y="1820708"/>
            <a:ext cx="1304137" cy="388078"/>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marL="0" indent="0" algn="ctr"/>
            <a:fld id="{1BEBFDAB-1C91-4C82-BD09-51F5AA31CF69}" type="TxLink">
              <a:rPr lang="en-US" sz="2000" b="1" i="0" u="none" strike="noStrike" cap="none" spc="0">
                <a:ln/>
                <a:solidFill>
                  <a:schemeClr val="accent3">
                    <a:lumMod val="40000"/>
                    <a:lumOff val="60000"/>
                  </a:schemeClr>
                </a:solidFill>
                <a:effectLst/>
                <a:latin typeface="Aptos Narrow"/>
                <a:ea typeface="+mn-ea"/>
                <a:cs typeface="+mn-cs"/>
              </a:rPr>
              <a:pPr marL="0" indent="0" algn="ctr"/>
              <a:t>21439.6</a:t>
            </a:fld>
            <a:endParaRPr lang="en-US" sz="2000" b="1" i="0" u="none" strike="noStrike" cap="none" spc="0">
              <a:ln/>
              <a:solidFill>
                <a:schemeClr val="accent3">
                  <a:lumMod val="40000"/>
                  <a:lumOff val="60000"/>
                </a:schemeClr>
              </a:solidFill>
              <a:effectLst/>
              <a:latin typeface="Aptos Narrow"/>
              <a:ea typeface="+mn-ea"/>
              <a:cs typeface="+mn-cs"/>
            </a:endParaRPr>
          </a:p>
        </xdr:txBody>
      </xdr:sp>
    </xdr:grpSp>
    <xdr:clientData/>
  </xdr:twoCellAnchor>
  <xdr:twoCellAnchor editAs="oneCell">
    <xdr:from>
      <xdr:col>23</xdr:col>
      <xdr:colOff>215535</xdr:colOff>
      <xdr:row>5</xdr:row>
      <xdr:rowOff>99984</xdr:rowOff>
    </xdr:from>
    <xdr:to>
      <xdr:col>26</xdr:col>
      <xdr:colOff>141536</xdr:colOff>
      <xdr:row>19</xdr:row>
      <xdr:rowOff>143567</xdr:rowOff>
    </xdr:to>
    <mc:AlternateContent xmlns:mc="http://schemas.openxmlformats.org/markup-compatibility/2006" xmlns:a14="http://schemas.microsoft.com/office/drawing/2010/main">
      <mc:Choice Requires="a14">
        <xdr:graphicFrame macro="">
          <xdr:nvGraphicFramePr>
            <xdr:cNvPr id="14" name="Artist Name 2">
              <a:extLst>
                <a:ext uri="{FF2B5EF4-FFF2-40B4-BE49-F238E27FC236}">
                  <a16:creationId xmlns:a16="http://schemas.microsoft.com/office/drawing/2014/main" id="{24D7FB7E-2283-4729-A4B4-7105209D6DAF}"/>
                </a:ext>
              </a:extLst>
            </xdr:cNvPr>
            <xdr:cNvGraphicFramePr/>
          </xdr:nvGraphicFramePr>
          <xdr:xfrm>
            <a:off x="0" y="0"/>
            <a:ext cx="0" cy="0"/>
          </xdr:xfrm>
          <a:graphic>
            <a:graphicData uri="http://schemas.microsoft.com/office/drawing/2010/slicer">
              <sle:slicer xmlns:sle="http://schemas.microsoft.com/office/drawing/2010/slicer" name="Artist Name 2"/>
            </a:graphicData>
          </a:graphic>
        </xdr:graphicFrame>
      </mc:Choice>
      <mc:Fallback xmlns="">
        <xdr:sp macro="" textlink="">
          <xdr:nvSpPr>
            <xdr:cNvPr id="0" name=""/>
            <xdr:cNvSpPr>
              <a:spLocks noTextEdit="1"/>
            </xdr:cNvSpPr>
          </xdr:nvSpPr>
          <xdr:spPr>
            <a:xfrm>
              <a:off x="14090285" y="1052484"/>
              <a:ext cx="1735751" cy="2710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143112</xdr:colOff>
      <xdr:row>5</xdr:row>
      <xdr:rowOff>127339</xdr:rowOff>
    </xdr:from>
    <xdr:to>
      <xdr:col>4</xdr:col>
      <xdr:colOff>62185</xdr:colOff>
      <xdr:row>20</xdr:row>
      <xdr:rowOff>106180</xdr:rowOff>
    </xdr:to>
    <mc:AlternateContent xmlns:mc="http://schemas.openxmlformats.org/markup-compatibility/2006" xmlns:a14="http://schemas.microsoft.com/office/drawing/2010/main">
      <mc:Choice Requires="a14">
        <xdr:graphicFrame macro="">
          <xdr:nvGraphicFramePr>
            <xdr:cNvPr id="20" name="Primary Genre 2">
              <a:extLst>
                <a:ext uri="{FF2B5EF4-FFF2-40B4-BE49-F238E27FC236}">
                  <a16:creationId xmlns:a16="http://schemas.microsoft.com/office/drawing/2014/main" id="{99CE3A2A-2402-4472-B4AA-F4ABB9757C9C}"/>
                </a:ext>
              </a:extLst>
            </xdr:cNvPr>
            <xdr:cNvGraphicFramePr/>
          </xdr:nvGraphicFramePr>
          <xdr:xfrm>
            <a:off x="0" y="0"/>
            <a:ext cx="0" cy="0"/>
          </xdr:xfrm>
          <a:graphic>
            <a:graphicData uri="http://schemas.microsoft.com/office/drawing/2010/slicer">
              <sle:slicer xmlns:sle="http://schemas.microsoft.com/office/drawing/2010/slicer" name="Primary Genre 2"/>
            </a:graphicData>
          </a:graphic>
        </xdr:graphicFrame>
      </mc:Choice>
      <mc:Fallback xmlns="">
        <xdr:sp macro="" textlink="">
          <xdr:nvSpPr>
            <xdr:cNvPr id="0" name=""/>
            <xdr:cNvSpPr>
              <a:spLocks noTextEdit="1"/>
            </xdr:cNvSpPr>
          </xdr:nvSpPr>
          <xdr:spPr>
            <a:xfrm>
              <a:off x="746362" y="1079839"/>
              <a:ext cx="1728823" cy="2836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151501</xdr:colOff>
      <xdr:row>12</xdr:row>
      <xdr:rowOff>135801</xdr:rowOff>
    </xdr:from>
    <xdr:to>
      <xdr:col>23</xdr:col>
      <xdr:colOff>78828</xdr:colOff>
      <xdr:row>28</xdr:row>
      <xdr:rowOff>7543</xdr:rowOff>
    </xdr:to>
    <xdr:graphicFrame macro="">
      <xdr:nvGraphicFramePr>
        <xdr:cNvPr id="21" name="Chart 20">
          <a:extLst>
            <a:ext uri="{FF2B5EF4-FFF2-40B4-BE49-F238E27FC236}">
              <a16:creationId xmlns:a16="http://schemas.microsoft.com/office/drawing/2014/main" id="{87532FAC-038A-4FF0-9879-F7628F633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135505</xdr:colOff>
      <xdr:row>21</xdr:row>
      <xdr:rowOff>7822</xdr:rowOff>
    </xdr:from>
    <xdr:to>
      <xdr:col>4</xdr:col>
      <xdr:colOff>41073</xdr:colOff>
      <xdr:row>28</xdr:row>
      <xdr:rowOff>442</xdr:rowOff>
    </xdr:to>
    <mc:AlternateContent xmlns:mc="http://schemas.openxmlformats.org/markup-compatibility/2006" xmlns:a14="http://schemas.microsoft.com/office/drawing/2010/main">
      <mc:Choice Requires="a14">
        <xdr:graphicFrame macro="">
          <xdr:nvGraphicFramePr>
            <xdr:cNvPr id="11" name="Sex 1">
              <a:extLst>
                <a:ext uri="{FF2B5EF4-FFF2-40B4-BE49-F238E27FC236}">
                  <a16:creationId xmlns:a16="http://schemas.microsoft.com/office/drawing/2014/main" id="{13D40787-9731-4D41-B050-706207ABF212}"/>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738755" y="4008322"/>
              <a:ext cx="1715318" cy="1326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207830</xdr:colOff>
      <xdr:row>20</xdr:row>
      <xdr:rowOff>60613</xdr:rowOff>
    </xdr:from>
    <xdr:to>
      <xdr:col>26</xdr:col>
      <xdr:colOff>138556</xdr:colOff>
      <xdr:row>28</xdr:row>
      <xdr:rowOff>12121</xdr:rowOff>
    </xdr:to>
    <mc:AlternateContent xmlns:mc="http://schemas.openxmlformats.org/markup-compatibility/2006" xmlns:a14="http://schemas.microsoft.com/office/drawing/2010/main">
      <mc:Choice Requires="a14">
        <xdr:graphicFrame macro="">
          <xdr:nvGraphicFramePr>
            <xdr:cNvPr id="22" name=" Artist Type 1">
              <a:extLst>
                <a:ext uri="{FF2B5EF4-FFF2-40B4-BE49-F238E27FC236}">
                  <a16:creationId xmlns:a16="http://schemas.microsoft.com/office/drawing/2014/main" id="{B9FBFF9A-07A6-42A1-B133-61953FE337D8}"/>
                </a:ext>
              </a:extLst>
            </xdr:cNvPr>
            <xdr:cNvGraphicFramePr/>
          </xdr:nvGraphicFramePr>
          <xdr:xfrm>
            <a:off x="0" y="0"/>
            <a:ext cx="0" cy="0"/>
          </xdr:xfrm>
          <a:graphic>
            <a:graphicData uri="http://schemas.microsoft.com/office/drawing/2010/slicer">
              <sle:slicer xmlns:sle="http://schemas.microsoft.com/office/drawing/2010/slicer" name=" Artist Type 1"/>
            </a:graphicData>
          </a:graphic>
        </xdr:graphicFrame>
      </mc:Choice>
      <mc:Fallback xmlns="">
        <xdr:sp macro="" textlink="">
          <xdr:nvSpPr>
            <xdr:cNvPr id="0" name=""/>
            <xdr:cNvSpPr>
              <a:spLocks noTextEdit="1"/>
            </xdr:cNvSpPr>
          </xdr:nvSpPr>
          <xdr:spPr>
            <a:xfrm>
              <a:off x="14082580" y="3870613"/>
              <a:ext cx="1740476" cy="14755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77165</xdr:colOff>
      <xdr:row>28</xdr:row>
      <xdr:rowOff>92979</xdr:rowOff>
    </xdr:from>
    <xdr:to>
      <xdr:col>8</xdr:col>
      <xdr:colOff>542636</xdr:colOff>
      <xdr:row>76</xdr:row>
      <xdr:rowOff>144022</xdr:rowOff>
    </xdr:to>
    <xdr:graphicFrame macro="">
      <xdr:nvGraphicFramePr>
        <xdr:cNvPr id="4" name="Chart 3">
          <a:extLst>
            <a:ext uri="{FF2B5EF4-FFF2-40B4-BE49-F238E27FC236}">
              <a16:creationId xmlns:a16="http://schemas.microsoft.com/office/drawing/2014/main" id="{F9194530-4D44-4737-8B24-2C4B4CC3A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6473</xdr:colOff>
      <xdr:row>28</xdr:row>
      <xdr:rowOff>104575</xdr:rowOff>
    </xdr:from>
    <xdr:to>
      <xdr:col>12</xdr:col>
      <xdr:colOff>12259</xdr:colOff>
      <xdr:row>76</xdr:row>
      <xdr:rowOff>163249</xdr:rowOff>
    </xdr:to>
    <mc:AlternateContent xmlns:mc="http://schemas.openxmlformats.org/markup-compatibility/2006" xmlns:a14="http://schemas.microsoft.com/office/drawing/2010/main">
      <mc:Choice Requires="a14">
        <xdr:graphicFrame macro="">
          <xdr:nvGraphicFramePr>
            <xdr:cNvPr id="16" name="Country of Origin 3">
              <a:extLst>
                <a:ext uri="{FF2B5EF4-FFF2-40B4-BE49-F238E27FC236}">
                  <a16:creationId xmlns:a16="http://schemas.microsoft.com/office/drawing/2014/main" id="{3068B893-580D-4CE5-BF78-CAACC1B65BAC}"/>
                </a:ext>
              </a:extLst>
            </xdr:cNvPr>
            <xdr:cNvGraphicFramePr/>
          </xdr:nvGraphicFramePr>
          <xdr:xfrm>
            <a:off x="0" y="0"/>
            <a:ext cx="0" cy="0"/>
          </xdr:xfrm>
          <a:graphic>
            <a:graphicData uri="http://schemas.microsoft.com/office/drawing/2010/slicer">
              <sle:slicer xmlns:sle="http://schemas.microsoft.com/office/drawing/2010/slicer" name="Country of Origin 3"/>
            </a:graphicData>
          </a:graphic>
        </xdr:graphicFrame>
      </mc:Choice>
      <mc:Fallback xmlns="">
        <xdr:sp macro="" textlink="">
          <xdr:nvSpPr>
            <xdr:cNvPr id="0" name=""/>
            <xdr:cNvSpPr>
              <a:spLocks noTextEdit="1"/>
            </xdr:cNvSpPr>
          </xdr:nvSpPr>
          <xdr:spPr>
            <a:xfrm>
              <a:off x="5435723" y="5438575"/>
              <a:ext cx="1815536" cy="9202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76290</xdr:colOff>
      <xdr:row>28</xdr:row>
      <xdr:rowOff>106520</xdr:rowOff>
    </xdr:from>
    <xdr:to>
      <xdr:col>17</xdr:col>
      <xdr:colOff>288325</xdr:colOff>
      <xdr:row>43</xdr:row>
      <xdr:rowOff>114906</xdr:rowOff>
    </xdr:to>
    <xdr:graphicFrame macro="">
      <xdr:nvGraphicFramePr>
        <xdr:cNvPr id="6" name="Chart 5">
          <a:extLst>
            <a:ext uri="{FF2B5EF4-FFF2-40B4-BE49-F238E27FC236}">
              <a16:creationId xmlns:a16="http://schemas.microsoft.com/office/drawing/2014/main" id="{2395DBEC-BF85-4AD6-B9AA-9702F5BAD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401595</xdr:colOff>
      <xdr:row>28</xdr:row>
      <xdr:rowOff>106828</xdr:rowOff>
    </xdr:from>
    <xdr:to>
      <xdr:col>26</xdr:col>
      <xdr:colOff>140965</xdr:colOff>
      <xdr:row>43</xdr:row>
      <xdr:rowOff>115661</xdr:rowOff>
    </xdr:to>
    <xdr:graphicFrame macro="">
      <xdr:nvGraphicFramePr>
        <xdr:cNvPr id="26" name="Chart 25">
          <a:extLst>
            <a:ext uri="{FF2B5EF4-FFF2-40B4-BE49-F238E27FC236}">
              <a16:creationId xmlns:a16="http://schemas.microsoft.com/office/drawing/2014/main" id="{8D120A85-AE0C-474B-AFED-718B9E7CB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561458</xdr:colOff>
      <xdr:row>5</xdr:row>
      <xdr:rowOff>128233</xdr:rowOff>
    </xdr:from>
    <xdr:to>
      <xdr:col>17</xdr:col>
      <xdr:colOff>126995</xdr:colOff>
      <xdr:row>12</xdr:row>
      <xdr:rowOff>23813</xdr:rowOff>
    </xdr:to>
    <xdr:grpSp>
      <xdr:nvGrpSpPr>
        <xdr:cNvPr id="27" name="Group 26">
          <a:extLst>
            <a:ext uri="{FF2B5EF4-FFF2-40B4-BE49-F238E27FC236}">
              <a16:creationId xmlns:a16="http://schemas.microsoft.com/office/drawing/2014/main" id="{FB68DE08-2A09-45A8-B286-36D34EDE3815}"/>
            </a:ext>
          </a:extLst>
        </xdr:cNvPr>
        <xdr:cNvGrpSpPr/>
      </xdr:nvGrpSpPr>
      <xdr:grpSpPr>
        <a:xfrm>
          <a:off x="9064936" y="1066929"/>
          <a:ext cx="1387711" cy="1209754"/>
          <a:chOff x="6087795" y="1033862"/>
          <a:chExt cx="1310313" cy="1200851"/>
        </a:xfrm>
      </xdr:grpSpPr>
      <xdr:grpSp>
        <xdr:nvGrpSpPr>
          <xdr:cNvPr id="28" name="Group 27">
            <a:extLst>
              <a:ext uri="{FF2B5EF4-FFF2-40B4-BE49-F238E27FC236}">
                <a16:creationId xmlns:a16="http://schemas.microsoft.com/office/drawing/2014/main" id="{592DA824-B320-0E7D-C60F-86E68BD8F81C}"/>
              </a:ext>
            </a:extLst>
          </xdr:cNvPr>
          <xdr:cNvGrpSpPr/>
        </xdr:nvGrpSpPr>
        <xdr:grpSpPr>
          <a:xfrm>
            <a:off x="6087795" y="1033862"/>
            <a:ext cx="1307561" cy="795744"/>
            <a:chOff x="2438400" y="1028682"/>
            <a:chExt cx="1310640" cy="780153"/>
          </a:xfrm>
        </xdr:grpSpPr>
        <xdr:sp macro="" textlink="">
          <xdr:nvSpPr>
            <xdr:cNvPr id="33" name="TextBox 32">
              <a:extLst>
                <a:ext uri="{FF2B5EF4-FFF2-40B4-BE49-F238E27FC236}">
                  <a16:creationId xmlns:a16="http://schemas.microsoft.com/office/drawing/2014/main" id="{6E7CF222-147D-04A3-CE64-A305E2758E3C}"/>
                </a:ext>
              </a:extLst>
            </xdr:cNvPr>
            <xdr:cNvSpPr txBox="1"/>
          </xdr:nvSpPr>
          <xdr:spPr>
            <a:xfrm>
              <a:off x="2438400" y="1028682"/>
              <a:ext cx="1310640" cy="385680"/>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marL="0" indent="0" algn="ctr"/>
              <a:r>
                <a:rPr lang="en-US" sz="1800" b="1" i="0" u="none" strike="noStrike" cap="none" spc="0">
                  <a:ln/>
                  <a:solidFill>
                    <a:schemeClr val="accent3">
                      <a:lumMod val="40000"/>
                      <a:lumOff val="60000"/>
                    </a:schemeClr>
                  </a:solidFill>
                  <a:effectLst/>
                  <a:latin typeface="Aptos Narrow"/>
                  <a:ea typeface="+mn-ea"/>
                  <a:cs typeface="+mn-cs"/>
                </a:rPr>
                <a:t>DEBUT</a:t>
              </a:r>
              <a:r>
                <a:rPr lang="en-US" sz="1800" b="1" i="0" u="none" strike="noStrike" cap="none" spc="0" baseline="0">
                  <a:ln/>
                  <a:solidFill>
                    <a:schemeClr val="accent3">
                      <a:lumMod val="40000"/>
                      <a:lumOff val="60000"/>
                    </a:schemeClr>
                  </a:solidFill>
                  <a:effectLst/>
                  <a:latin typeface="Aptos Narrow"/>
                  <a:ea typeface="+mn-ea"/>
                  <a:cs typeface="+mn-cs"/>
                </a:rPr>
                <a:t> YEAR</a:t>
              </a:r>
              <a:endParaRPr lang="en-US" sz="1800" b="1" i="0" u="none" strike="noStrike" cap="none" spc="0">
                <a:ln/>
                <a:solidFill>
                  <a:schemeClr val="accent3">
                    <a:lumMod val="40000"/>
                    <a:lumOff val="60000"/>
                  </a:schemeClr>
                </a:solidFill>
                <a:effectLst/>
                <a:latin typeface="Aptos Narrow"/>
                <a:ea typeface="+mn-ea"/>
                <a:cs typeface="+mn-cs"/>
              </a:endParaRPr>
            </a:p>
          </xdr:txBody>
        </xdr:sp>
        <xdr:sp macro="" textlink="'Year Analysis'!D21">
          <xdr:nvSpPr>
            <xdr:cNvPr id="34" name="TextBox 33">
              <a:extLst>
                <a:ext uri="{FF2B5EF4-FFF2-40B4-BE49-F238E27FC236}">
                  <a16:creationId xmlns:a16="http://schemas.microsoft.com/office/drawing/2014/main" id="{615314EB-8512-2B36-CE93-602A4D646601}"/>
                </a:ext>
              </a:extLst>
            </xdr:cNvPr>
            <xdr:cNvSpPr txBox="1"/>
          </xdr:nvSpPr>
          <xdr:spPr>
            <a:xfrm>
              <a:off x="2438400" y="1423153"/>
              <a:ext cx="1310640" cy="385682"/>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marL="0" indent="0" algn="ctr"/>
              <a:fld id="{222D9E0E-2A4E-4E06-8419-B659DB96F078}" type="TxLink">
                <a:rPr lang="en-US" sz="2000" b="1" i="0" u="none" strike="noStrike" cap="none" spc="0">
                  <a:ln/>
                  <a:solidFill>
                    <a:schemeClr val="accent3">
                      <a:lumMod val="40000"/>
                      <a:lumOff val="60000"/>
                    </a:schemeClr>
                  </a:solidFill>
                  <a:effectLst/>
                  <a:latin typeface="Aptos Narrow"/>
                  <a:ea typeface="+mn-ea"/>
                  <a:cs typeface="+mn-cs"/>
                </a:rPr>
                <a:pPr marL="0" indent="0" algn="ctr"/>
                <a:t>Jul</a:t>
              </a:fld>
              <a:endParaRPr lang="en-US" sz="2000" b="1" i="0" u="none" strike="noStrike" cap="none" spc="0">
                <a:ln/>
                <a:solidFill>
                  <a:schemeClr val="accent3">
                    <a:lumMod val="40000"/>
                    <a:lumOff val="60000"/>
                  </a:schemeClr>
                </a:solidFill>
                <a:effectLst/>
                <a:latin typeface="Aptos Narrow"/>
                <a:ea typeface="+mn-ea"/>
                <a:cs typeface="+mn-cs"/>
              </a:endParaRPr>
            </a:p>
          </xdr:txBody>
        </xdr:sp>
      </xdr:grpSp>
      <xdr:sp macro="" textlink="'Year Analysis'!G21">
        <xdr:nvSpPr>
          <xdr:cNvPr id="32" name="TextBox 31">
            <a:extLst>
              <a:ext uri="{FF2B5EF4-FFF2-40B4-BE49-F238E27FC236}">
                <a16:creationId xmlns:a16="http://schemas.microsoft.com/office/drawing/2014/main" id="{D4D67D58-A719-6194-346D-3A6AF6E3B3C8}"/>
              </a:ext>
            </a:extLst>
          </xdr:cNvPr>
          <xdr:cNvSpPr txBox="1"/>
        </xdr:nvSpPr>
        <xdr:spPr>
          <a:xfrm>
            <a:off x="6090547" y="1841139"/>
            <a:ext cx="1307561" cy="393574"/>
          </a:xfrm>
          <a:prstGeom prst="rect">
            <a:avLst/>
          </a:prstGeom>
          <a:solidFill>
            <a:schemeClr val="tx1">
              <a:lumMod val="95000"/>
              <a:lumOff val="5000"/>
            </a:schemeClr>
          </a:solidFill>
          <a:ln w="381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marL="0" indent="0" algn="ctr"/>
            <a:fld id="{2E78FFD1-35BF-417F-A5DB-93EE4BF3D124}" type="TxLink">
              <a:rPr lang="en-US" sz="2000" b="1" i="0" u="none" strike="noStrike" cap="none" spc="0">
                <a:ln/>
                <a:solidFill>
                  <a:schemeClr val="accent3">
                    <a:lumMod val="40000"/>
                    <a:lumOff val="60000"/>
                  </a:schemeClr>
                </a:solidFill>
                <a:effectLst/>
                <a:latin typeface="Aptos Narrow"/>
                <a:ea typeface="+mn-ea"/>
                <a:cs typeface="+mn-cs"/>
              </a:rPr>
              <a:pPr marL="0" indent="0" algn="ctr"/>
              <a:t>2013</a:t>
            </a:fld>
            <a:endParaRPr lang="en-US" sz="2000" b="1" i="0" u="none" strike="noStrike" cap="none" spc="0">
              <a:ln/>
              <a:solidFill>
                <a:schemeClr val="accent3">
                  <a:lumMod val="40000"/>
                  <a:lumOff val="60000"/>
                </a:schemeClr>
              </a:solidFill>
              <a:effectLst/>
              <a:latin typeface="Aptos Narrow"/>
              <a:ea typeface="+mn-ea"/>
              <a:cs typeface="+mn-cs"/>
            </a:endParaRPr>
          </a:p>
        </xdr:txBody>
      </xdr:sp>
    </xdr:grpSp>
    <xdr:clientData/>
  </xdr:twoCellAnchor>
  <xdr:twoCellAnchor>
    <xdr:from>
      <xdr:col>0</xdr:col>
      <xdr:colOff>36501</xdr:colOff>
      <xdr:row>6</xdr:row>
      <xdr:rowOff>7237</xdr:rowOff>
    </xdr:from>
    <xdr:to>
      <xdr:col>1</xdr:col>
      <xdr:colOff>11703</xdr:colOff>
      <xdr:row>45</xdr:row>
      <xdr:rowOff>105509</xdr:rowOff>
    </xdr:to>
    <xdr:sp macro="" textlink="">
      <xdr:nvSpPr>
        <xdr:cNvPr id="35" name="Rectangle: Rounded Corners 34">
          <a:extLst>
            <a:ext uri="{FF2B5EF4-FFF2-40B4-BE49-F238E27FC236}">
              <a16:creationId xmlns:a16="http://schemas.microsoft.com/office/drawing/2014/main" id="{31B03373-2206-BBD6-6128-12A40D36FBA4}"/>
            </a:ext>
          </a:extLst>
        </xdr:cNvPr>
        <xdr:cNvSpPr/>
      </xdr:nvSpPr>
      <xdr:spPr>
        <a:xfrm>
          <a:off x="36501" y="1097483"/>
          <a:ext cx="584802" cy="7184872"/>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xdr:colOff>
      <xdr:row>6</xdr:row>
      <xdr:rowOff>40105</xdr:rowOff>
    </xdr:from>
    <xdr:to>
      <xdr:col>1</xdr:col>
      <xdr:colOff>56098</xdr:colOff>
      <xdr:row>9</xdr:row>
      <xdr:rowOff>144551</xdr:rowOff>
    </xdr:to>
    <xdr:pic>
      <xdr:nvPicPr>
        <xdr:cNvPr id="42" name="Graphic 41" descr="Open folder with solid fill">
          <a:hlinkClick xmlns:r="http://schemas.openxmlformats.org/officeDocument/2006/relationships" r:id="rId5"/>
          <a:extLst>
            <a:ext uri="{FF2B5EF4-FFF2-40B4-BE49-F238E27FC236}">
              <a16:creationId xmlns:a16="http://schemas.microsoft.com/office/drawing/2014/main" id="{80E0114F-DA65-1CF3-DA2A-751EF280BF9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 y="1134019"/>
          <a:ext cx="663827" cy="651403"/>
        </a:xfrm>
        <a:prstGeom prst="rect">
          <a:avLst/>
        </a:prstGeom>
      </xdr:spPr>
    </xdr:pic>
    <xdr:clientData/>
  </xdr:twoCellAnchor>
  <xdr:twoCellAnchor editAs="oneCell">
    <xdr:from>
      <xdr:col>0</xdr:col>
      <xdr:colOff>1</xdr:colOff>
      <xdr:row>10</xdr:row>
      <xdr:rowOff>87667</xdr:rowOff>
    </xdr:from>
    <xdr:to>
      <xdr:col>1</xdr:col>
      <xdr:colOff>29263</xdr:colOff>
      <xdr:row>14</xdr:row>
      <xdr:rowOff>3</xdr:rowOff>
    </xdr:to>
    <xdr:pic>
      <xdr:nvPicPr>
        <xdr:cNvPr id="46" name="Graphic 45" descr="Abacus with solid fill">
          <a:hlinkClick xmlns:r="http://schemas.openxmlformats.org/officeDocument/2006/relationships" r:id="rId8"/>
          <a:extLst>
            <a:ext uri="{FF2B5EF4-FFF2-40B4-BE49-F238E27FC236}">
              <a16:creationId xmlns:a16="http://schemas.microsoft.com/office/drawing/2014/main" id="{9EDBD710-2D75-D07D-6629-FC3AF1421CE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 y="1908375"/>
          <a:ext cx="636165" cy="640619"/>
        </a:xfrm>
        <a:prstGeom prst="rect">
          <a:avLst/>
        </a:prstGeom>
      </xdr:spPr>
    </xdr:pic>
    <xdr:clientData/>
  </xdr:twoCellAnchor>
  <xdr:twoCellAnchor editAs="oneCell">
    <xdr:from>
      <xdr:col>0</xdr:col>
      <xdr:colOff>0</xdr:colOff>
      <xdr:row>14</xdr:row>
      <xdr:rowOff>177213</xdr:rowOff>
    </xdr:from>
    <xdr:to>
      <xdr:col>1</xdr:col>
      <xdr:colOff>53163</xdr:colOff>
      <xdr:row>18</xdr:row>
      <xdr:rowOff>97469</xdr:rowOff>
    </xdr:to>
    <xdr:pic>
      <xdr:nvPicPr>
        <xdr:cNvPr id="48" name="Graphic 47" descr="Treble clef with solid fill">
          <a:hlinkClick xmlns:r="http://schemas.openxmlformats.org/officeDocument/2006/relationships" r:id="rId11"/>
          <a:extLst>
            <a:ext uri="{FF2B5EF4-FFF2-40B4-BE49-F238E27FC236}">
              <a16:creationId xmlns:a16="http://schemas.microsoft.com/office/drawing/2014/main" id="{15826011-2C6F-2816-55EC-D748EC330E4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0" y="2782190"/>
          <a:ext cx="664535" cy="664535"/>
        </a:xfrm>
        <a:prstGeom prst="rect">
          <a:avLst/>
        </a:prstGeom>
      </xdr:spPr>
    </xdr:pic>
    <xdr:clientData/>
  </xdr:twoCellAnchor>
  <xdr:twoCellAnchor editAs="oneCell">
    <xdr:from>
      <xdr:col>0</xdr:col>
      <xdr:colOff>0</xdr:colOff>
      <xdr:row>19</xdr:row>
      <xdr:rowOff>53163</xdr:rowOff>
    </xdr:from>
    <xdr:to>
      <xdr:col>1</xdr:col>
      <xdr:colOff>62023</xdr:colOff>
      <xdr:row>23</xdr:row>
      <xdr:rowOff>15949</xdr:rowOff>
    </xdr:to>
    <xdr:pic>
      <xdr:nvPicPr>
        <xdr:cNvPr id="50" name="Graphic 49" descr="Clipboard Checked with solid fill">
          <a:hlinkClick xmlns:r="http://schemas.openxmlformats.org/officeDocument/2006/relationships" r:id="rId14"/>
          <a:extLst>
            <a:ext uri="{FF2B5EF4-FFF2-40B4-BE49-F238E27FC236}">
              <a16:creationId xmlns:a16="http://schemas.microsoft.com/office/drawing/2014/main" id="{A2528EBA-37AA-D911-2F6F-47CECD9D820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0" y="3588489"/>
          <a:ext cx="673395" cy="673395"/>
        </a:xfrm>
        <a:prstGeom prst="rect">
          <a:avLst/>
        </a:prstGeom>
      </xdr:spPr>
    </xdr:pic>
    <xdr:clientData/>
  </xdr:twoCellAnchor>
  <xdr:twoCellAnchor editAs="oneCell">
    <xdr:from>
      <xdr:col>0</xdr:col>
      <xdr:colOff>1</xdr:colOff>
      <xdr:row>24</xdr:row>
      <xdr:rowOff>41032</xdr:rowOff>
    </xdr:from>
    <xdr:to>
      <xdr:col>1</xdr:col>
      <xdr:colOff>5041</xdr:colOff>
      <xdr:row>27</xdr:row>
      <xdr:rowOff>91571</xdr:rowOff>
    </xdr:to>
    <xdr:pic>
      <xdr:nvPicPr>
        <xdr:cNvPr id="52" name="Graphic 51" descr="Priorities with solid fill">
          <a:hlinkClick xmlns:r="http://schemas.openxmlformats.org/officeDocument/2006/relationships" r:id="rId17"/>
          <a:extLst>
            <a:ext uri="{FF2B5EF4-FFF2-40B4-BE49-F238E27FC236}">
              <a16:creationId xmlns:a16="http://schemas.microsoft.com/office/drawing/2014/main" id="{40CCB6C2-C05B-A268-3ABC-92092BA8AEE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 y="4436431"/>
          <a:ext cx="605404" cy="599964"/>
        </a:xfrm>
        <a:prstGeom prst="rect">
          <a:avLst/>
        </a:prstGeom>
      </xdr:spPr>
    </xdr:pic>
    <xdr:clientData/>
  </xdr:twoCellAnchor>
  <xdr:twoCellAnchor editAs="oneCell">
    <xdr:from>
      <xdr:col>0</xdr:col>
      <xdr:colOff>9896</xdr:colOff>
      <xdr:row>28</xdr:row>
      <xdr:rowOff>68944</xdr:rowOff>
    </xdr:from>
    <xdr:to>
      <xdr:col>1</xdr:col>
      <xdr:colOff>35296</xdr:colOff>
      <xdr:row>31</xdr:row>
      <xdr:rowOff>145474</xdr:rowOff>
    </xdr:to>
    <xdr:pic>
      <xdr:nvPicPr>
        <xdr:cNvPr id="54" name="Graphic 53" descr="Globe outline">
          <a:hlinkClick xmlns:r="http://schemas.openxmlformats.org/officeDocument/2006/relationships" r:id="rId20"/>
          <a:extLst>
            <a:ext uri="{FF2B5EF4-FFF2-40B4-BE49-F238E27FC236}">
              <a16:creationId xmlns:a16="http://schemas.microsoft.com/office/drawing/2014/main" id="{12781CAF-BCCE-75EA-939A-BC57E0B6AD6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896" y="5056580"/>
          <a:ext cx="638958" cy="610920"/>
        </a:xfrm>
        <a:prstGeom prst="rect">
          <a:avLst/>
        </a:prstGeom>
      </xdr:spPr>
    </xdr:pic>
    <xdr:clientData/>
  </xdr:twoCellAnchor>
  <xdr:twoCellAnchor editAs="oneCell">
    <xdr:from>
      <xdr:col>0</xdr:col>
      <xdr:colOff>0</xdr:colOff>
      <xdr:row>33</xdr:row>
      <xdr:rowOff>52698</xdr:rowOff>
    </xdr:from>
    <xdr:to>
      <xdr:col>1</xdr:col>
      <xdr:colOff>25400</xdr:colOff>
      <xdr:row>36</xdr:row>
      <xdr:rowOff>129228</xdr:rowOff>
    </xdr:to>
    <xdr:pic>
      <xdr:nvPicPr>
        <xdr:cNvPr id="56" name="Graphic 55" descr="Group of women with solid fill">
          <a:hlinkClick xmlns:r="http://schemas.openxmlformats.org/officeDocument/2006/relationships" r:id="rId23"/>
          <a:extLst>
            <a:ext uri="{FF2B5EF4-FFF2-40B4-BE49-F238E27FC236}">
              <a16:creationId xmlns:a16="http://schemas.microsoft.com/office/drawing/2014/main" id="{FD7D5E86-EF9C-C611-BF91-77FDF5A315DD}"/>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0" y="5930984"/>
          <a:ext cx="638958" cy="610919"/>
        </a:xfrm>
        <a:prstGeom prst="rect">
          <a:avLst/>
        </a:prstGeom>
      </xdr:spPr>
    </xdr:pic>
    <xdr:clientData/>
  </xdr:twoCellAnchor>
  <xdr:twoCellAnchor editAs="oneCell">
    <xdr:from>
      <xdr:col>0</xdr:col>
      <xdr:colOff>0</xdr:colOff>
      <xdr:row>37</xdr:row>
      <xdr:rowOff>105890</xdr:rowOff>
    </xdr:from>
    <xdr:to>
      <xdr:col>1</xdr:col>
      <xdr:colOff>19050</xdr:colOff>
      <xdr:row>41</xdr:row>
      <xdr:rowOff>29690</xdr:rowOff>
    </xdr:to>
    <xdr:pic>
      <xdr:nvPicPr>
        <xdr:cNvPr id="58" name="Graphic 57" descr="Daily calendar with solid fill">
          <a:hlinkClick xmlns:r="http://schemas.openxmlformats.org/officeDocument/2006/relationships" r:id="rId26"/>
          <a:extLst>
            <a:ext uri="{FF2B5EF4-FFF2-40B4-BE49-F238E27FC236}">
              <a16:creationId xmlns:a16="http://schemas.microsoft.com/office/drawing/2014/main" id="{99CE0571-335C-B81E-042C-E2107A8811DB}"/>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0" y="6696695"/>
          <a:ext cx="632608" cy="636320"/>
        </a:xfrm>
        <a:prstGeom prst="rect">
          <a:avLst/>
        </a:prstGeom>
      </xdr:spPr>
    </xdr:pic>
    <xdr:clientData/>
  </xdr:twoCellAnchor>
  <xdr:twoCellAnchor>
    <xdr:from>
      <xdr:col>12</xdr:col>
      <xdr:colOff>91100</xdr:colOff>
      <xdr:row>43</xdr:row>
      <xdr:rowOff>179949</xdr:rowOff>
    </xdr:from>
    <xdr:to>
      <xdr:col>23</xdr:col>
      <xdr:colOff>144163</xdr:colOff>
      <xdr:row>59</xdr:row>
      <xdr:rowOff>46893</xdr:rowOff>
    </xdr:to>
    <xdr:graphicFrame macro="">
      <xdr:nvGraphicFramePr>
        <xdr:cNvPr id="59" name="Chart 58">
          <a:extLst>
            <a:ext uri="{FF2B5EF4-FFF2-40B4-BE49-F238E27FC236}">
              <a16:creationId xmlns:a16="http://schemas.microsoft.com/office/drawing/2014/main" id="{FE44D69D-96BB-4115-88CF-08A70809F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23</xdr:col>
      <xdr:colOff>207145</xdr:colOff>
      <xdr:row>44</xdr:row>
      <xdr:rowOff>1</xdr:rowOff>
    </xdr:from>
    <xdr:to>
      <xdr:col>26</xdr:col>
      <xdr:colOff>133993</xdr:colOff>
      <xdr:row>59</xdr:row>
      <xdr:rowOff>35169</xdr:rowOff>
    </xdr:to>
    <mc:AlternateContent xmlns:mc="http://schemas.openxmlformats.org/markup-compatibility/2006" xmlns:a14="http://schemas.microsoft.com/office/drawing/2010/main">
      <mc:Choice Requires="a14">
        <xdr:graphicFrame macro="">
          <xdr:nvGraphicFramePr>
            <xdr:cNvPr id="60" name="Primary Language 1">
              <a:extLst>
                <a:ext uri="{FF2B5EF4-FFF2-40B4-BE49-F238E27FC236}">
                  <a16:creationId xmlns:a16="http://schemas.microsoft.com/office/drawing/2014/main" id="{8A73DE88-F0B6-451D-A0FE-87154713B34F}"/>
                </a:ext>
              </a:extLst>
            </xdr:cNvPr>
            <xdr:cNvGraphicFramePr/>
          </xdr:nvGraphicFramePr>
          <xdr:xfrm>
            <a:off x="0" y="0"/>
            <a:ext cx="0" cy="0"/>
          </xdr:xfrm>
          <a:graphic>
            <a:graphicData uri="http://schemas.microsoft.com/office/drawing/2010/slicer">
              <sle:slicer xmlns:sle="http://schemas.microsoft.com/office/drawing/2010/slicer" name="Primary Language 1"/>
            </a:graphicData>
          </a:graphic>
        </xdr:graphicFrame>
      </mc:Choice>
      <mc:Fallback xmlns="">
        <xdr:sp macro="" textlink="">
          <xdr:nvSpPr>
            <xdr:cNvPr id="0" name=""/>
            <xdr:cNvSpPr>
              <a:spLocks noTextEdit="1"/>
            </xdr:cNvSpPr>
          </xdr:nvSpPr>
          <xdr:spPr>
            <a:xfrm>
              <a:off x="14116669" y="7982858"/>
              <a:ext cx="1741134" cy="2756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92202</xdr:colOff>
      <xdr:row>59</xdr:row>
      <xdr:rowOff>152401</xdr:rowOff>
    </xdr:from>
    <xdr:to>
      <xdr:col>26</xdr:col>
      <xdr:colOff>144161</xdr:colOff>
      <xdr:row>76</xdr:row>
      <xdr:rowOff>164124</xdr:rowOff>
    </xdr:to>
    <xdr:graphicFrame macro="">
      <xdr:nvGraphicFramePr>
        <xdr:cNvPr id="61" name="Chart 60">
          <a:extLst>
            <a:ext uri="{FF2B5EF4-FFF2-40B4-BE49-F238E27FC236}">
              <a16:creationId xmlns:a16="http://schemas.microsoft.com/office/drawing/2014/main" id="{082CDF0A-2606-4255-BC39-000FB1F6A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oneCell">
    <xdr:from>
      <xdr:col>0</xdr:col>
      <xdr:colOff>0</xdr:colOff>
      <xdr:row>41</xdr:row>
      <xdr:rowOff>155024</xdr:rowOff>
    </xdr:from>
    <xdr:to>
      <xdr:col>1</xdr:col>
      <xdr:colOff>11434</xdr:colOff>
      <xdr:row>45</xdr:row>
      <xdr:rowOff>46888</xdr:rowOff>
    </xdr:to>
    <xdr:pic>
      <xdr:nvPicPr>
        <xdr:cNvPr id="63" name="Graphic 62" descr="Speech with solid fill">
          <a:hlinkClick xmlns:r="http://schemas.openxmlformats.org/officeDocument/2006/relationships" r:id="rId31"/>
          <a:extLst>
            <a:ext uri="{FF2B5EF4-FFF2-40B4-BE49-F238E27FC236}">
              <a16:creationId xmlns:a16="http://schemas.microsoft.com/office/drawing/2014/main" id="{FAF2B5D9-B15D-82B6-BD01-B6B4155B4065}"/>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0" y="7605039"/>
          <a:ext cx="621034" cy="6186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193860</xdr:colOff>
      <xdr:row>2</xdr:row>
      <xdr:rowOff>164636</xdr:rowOff>
    </xdr:from>
    <xdr:ext cx="1818237" cy="3310083"/>
    <mc:AlternateContent xmlns:mc="http://schemas.openxmlformats.org/markup-compatibility/2006" xmlns:a14="http://schemas.microsoft.com/office/drawing/2010/main">
      <mc:Choice Requires="a14">
        <xdr:graphicFrame macro="">
          <xdr:nvGraphicFramePr>
            <xdr:cNvPr id="3" name="Artist Name 3">
              <a:extLst>
                <a:ext uri="{FF2B5EF4-FFF2-40B4-BE49-F238E27FC236}">
                  <a16:creationId xmlns:a16="http://schemas.microsoft.com/office/drawing/2014/main" id="{54951255-137C-4FDC-96FA-227E8D522995}"/>
                </a:ext>
              </a:extLst>
            </xdr:cNvPr>
            <xdr:cNvGraphicFramePr/>
          </xdr:nvGraphicFramePr>
          <xdr:xfrm>
            <a:off x="0" y="0"/>
            <a:ext cx="0" cy="0"/>
          </xdr:xfrm>
          <a:graphic>
            <a:graphicData uri="http://schemas.microsoft.com/office/drawing/2010/slicer">
              <sle:slicer xmlns:sle="http://schemas.microsoft.com/office/drawing/2010/slicer" name="Artist Name 3"/>
            </a:graphicData>
          </a:graphic>
        </xdr:graphicFrame>
      </mc:Choice>
      <mc:Fallback xmlns="">
        <xdr:sp macro="" textlink="">
          <xdr:nvSpPr>
            <xdr:cNvPr id="0" name=""/>
            <xdr:cNvSpPr>
              <a:spLocks noTextEdit="1"/>
            </xdr:cNvSpPr>
          </xdr:nvSpPr>
          <xdr:spPr>
            <a:xfrm>
              <a:off x="4214413" y="525583"/>
              <a:ext cx="1818237" cy="3310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195349</xdr:colOff>
      <xdr:row>4</xdr:row>
      <xdr:rowOff>70658</xdr:rowOff>
    </xdr:from>
    <xdr:ext cx="1836949" cy="2531072"/>
    <mc:AlternateContent xmlns:mc="http://schemas.openxmlformats.org/markup-compatibility/2006" xmlns:a14="http://schemas.microsoft.com/office/drawing/2010/main">
      <mc:Choice Requires="a14">
        <xdr:graphicFrame macro="">
          <xdr:nvGraphicFramePr>
            <xdr:cNvPr id="2" name="Primary Genre">
              <a:extLst>
                <a:ext uri="{FF2B5EF4-FFF2-40B4-BE49-F238E27FC236}">
                  <a16:creationId xmlns:a16="http://schemas.microsoft.com/office/drawing/2014/main" id="{87762F2A-4D3C-43DB-9C82-DDC32F1F47B9}"/>
                </a:ext>
              </a:extLst>
            </xdr:cNvPr>
            <xdr:cNvGraphicFramePr/>
          </xdr:nvGraphicFramePr>
          <xdr:xfrm>
            <a:off x="0" y="0"/>
            <a:ext cx="0" cy="0"/>
          </xdr:xfrm>
          <a:graphic>
            <a:graphicData uri="http://schemas.microsoft.com/office/drawing/2010/slicer">
              <sle:slicer xmlns:sle="http://schemas.microsoft.com/office/drawing/2010/slicer" name="Primary Genre"/>
            </a:graphicData>
          </a:graphic>
        </xdr:graphicFrame>
      </mc:Choice>
      <mc:Fallback xmlns="">
        <xdr:sp macro="" textlink="">
          <xdr:nvSpPr>
            <xdr:cNvPr id="0" name=""/>
            <xdr:cNvSpPr>
              <a:spLocks noTextEdit="1"/>
            </xdr:cNvSpPr>
          </xdr:nvSpPr>
          <xdr:spPr>
            <a:xfrm>
              <a:off x="3228109" y="802178"/>
              <a:ext cx="1836949" cy="2531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295275</xdr:colOff>
      <xdr:row>1</xdr:row>
      <xdr:rowOff>142876</xdr:rowOff>
    </xdr:from>
    <xdr:ext cx="1837766" cy="1022425"/>
    <mc:AlternateContent xmlns:mc="http://schemas.openxmlformats.org/markup-compatibility/2006" xmlns:a14="http://schemas.microsoft.com/office/drawing/2010/main">
      <mc:Choice Requires="a14">
        <xdr:graphicFrame macro="">
          <xdr:nvGraphicFramePr>
            <xdr:cNvPr id="2" name=" Artist Type">
              <a:extLst>
                <a:ext uri="{FF2B5EF4-FFF2-40B4-BE49-F238E27FC236}">
                  <a16:creationId xmlns:a16="http://schemas.microsoft.com/office/drawing/2014/main" id="{726BB677-4A2E-44C2-8EBD-99F9DD8C8771}"/>
                </a:ext>
              </a:extLst>
            </xdr:cNvPr>
            <xdr:cNvGraphicFramePr/>
          </xdr:nvGraphicFramePr>
          <xdr:xfrm>
            <a:off x="0" y="0"/>
            <a:ext cx="0" cy="0"/>
          </xdr:xfrm>
          <a:graphic>
            <a:graphicData uri="http://schemas.microsoft.com/office/drawing/2010/slicer">
              <sle:slicer xmlns:sle="http://schemas.microsoft.com/office/drawing/2010/slicer" name=" Artist Type"/>
            </a:graphicData>
          </a:graphic>
        </xdr:graphicFrame>
      </mc:Choice>
      <mc:Fallback xmlns="">
        <xdr:sp macro="" textlink="">
          <xdr:nvSpPr>
            <xdr:cNvPr id="0" name=""/>
            <xdr:cNvSpPr>
              <a:spLocks noTextEdit="1"/>
            </xdr:cNvSpPr>
          </xdr:nvSpPr>
          <xdr:spPr>
            <a:xfrm>
              <a:off x="3129915" y="325756"/>
              <a:ext cx="1837766" cy="1022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0</xdr:colOff>
      <xdr:row>13</xdr:row>
      <xdr:rowOff>122283</xdr:rowOff>
    </xdr:from>
    <xdr:to>
      <xdr:col>5</xdr:col>
      <xdr:colOff>390803</xdr:colOff>
      <xdr:row>31</xdr:row>
      <xdr:rowOff>24756</xdr:rowOff>
    </xdr:to>
    <xdr:graphicFrame macro="">
      <xdr:nvGraphicFramePr>
        <xdr:cNvPr id="3" name="Chart 2">
          <a:extLst>
            <a:ext uri="{FF2B5EF4-FFF2-40B4-BE49-F238E27FC236}">
              <a16:creationId xmlns:a16="http://schemas.microsoft.com/office/drawing/2014/main" id="{A20C6F4F-9EC8-4A30-B105-0571C4968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45912</xdr:colOff>
      <xdr:row>1</xdr:row>
      <xdr:rowOff>7620</xdr:rowOff>
    </xdr:from>
    <xdr:to>
      <xdr:col>9</xdr:col>
      <xdr:colOff>54878</xdr:colOff>
      <xdr:row>15</xdr:row>
      <xdr:rowOff>3362</xdr:rowOff>
    </xdr:to>
    <mc:AlternateContent xmlns:mc="http://schemas.openxmlformats.org/markup-compatibility/2006" xmlns:a14="http://schemas.microsoft.com/office/drawing/2010/main">
      <mc:Choice Requires="a14">
        <xdr:graphicFrame macro="">
          <xdr:nvGraphicFramePr>
            <xdr:cNvPr id="4" name="Sex">
              <a:extLst>
                <a:ext uri="{FF2B5EF4-FFF2-40B4-BE49-F238E27FC236}">
                  <a16:creationId xmlns:a16="http://schemas.microsoft.com/office/drawing/2014/main" id="{94B5589C-7B7F-4D78-B7D5-B95F440313B0}"/>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5318952" y="190500"/>
              <a:ext cx="1837766" cy="2556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3</xdr:col>
      <xdr:colOff>106680</xdr:colOff>
      <xdr:row>0</xdr:row>
      <xdr:rowOff>78105</xdr:rowOff>
    </xdr:from>
    <xdr:ext cx="1843549" cy="2456528"/>
    <mc:AlternateContent xmlns:mc="http://schemas.openxmlformats.org/markup-compatibility/2006" xmlns:a14="http://schemas.microsoft.com/office/drawing/2010/main">
      <mc:Choice Requires="a14">
        <xdr:graphicFrame macro="">
          <xdr:nvGraphicFramePr>
            <xdr:cNvPr id="2" name="Country of Origin 2">
              <a:extLst>
                <a:ext uri="{FF2B5EF4-FFF2-40B4-BE49-F238E27FC236}">
                  <a16:creationId xmlns:a16="http://schemas.microsoft.com/office/drawing/2014/main" id="{510975B0-BCFE-4A3D-90BD-5C6F4CCC8246}"/>
                </a:ext>
              </a:extLst>
            </xdr:cNvPr>
            <xdr:cNvGraphicFramePr/>
          </xdr:nvGraphicFramePr>
          <xdr:xfrm>
            <a:off x="0" y="0"/>
            <a:ext cx="0" cy="0"/>
          </xdr:xfrm>
          <a:graphic>
            <a:graphicData uri="http://schemas.microsoft.com/office/drawing/2010/slicer">
              <sle:slicer xmlns:sle="http://schemas.microsoft.com/office/drawing/2010/slicer" name="Country of Origin 2"/>
            </a:graphicData>
          </a:graphic>
        </xdr:graphicFrame>
      </mc:Choice>
      <mc:Fallback xmlns="">
        <xdr:sp macro="" textlink="">
          <xdr:nvSpPr>
            <xdr:cNvPr id="0" name=""/>
            <xdr:cNvSpPr>
              <a:spLocks noTextEdit="1"/>
            </xdr:cNvSpPr>
          </xdr:nvSpPr>
          <xdr:spPr>
            <a:xfrm>
              <a:off x="3904390" y="78105"/>
              <a:ext cx="1843549" cy="2456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xdr:col>
      <xdr:colOff>449580</xdr:colOff>
      <xdr:row>15</xdr:row>
      <xdr:rowOff>76200</xdr:rowOff>
    </xdr:from>
    <xdr:to>
      <xdr:col>10</xdr:col>
      <xdr:colOff>36319</xdr:colOff>
      <xdr:row>30</xdr:row>
      <xdr:rowOff>177133</xdr:rowOff>
    </xdr:to>
    <xdr:graphicFrame macro="">
      <xdr:nvGraphicFramePr>
        <xdr:cNvPr id="3" name="Chart 2">
          <a:extLst>
            <a:ext uri="{FF2B5EF4-FFF2-40B4-BE49-F238E27FC236}">
              <a16:creationId xmlns:a16="http://schemas.microsoft.com/office/drawing/2014/main" id="{BB8DC7BF-CBC6-4E9A-8758-31D866669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5012</xdr:colOff>
      <xdr:row>7</xdr:row>
      <xdr:rowOff>32083</xdr:rowOff>
    </xdr:from>
    <xdr:to>
      <xdr:col>3</xdr:col>
      <xdr:colOff>240631</xdr:colOff>
      <xdr:row>22</xdr:row>
      <xdr:rowOff>68178</xdr:rowOff>
    </xdr:to>
    <xdr:graphicFrame macro="">
      <xdr:nvGraphicFramePr>
        <xdr:cNvPr id="2" name="Chart 1">
          <a:extLst>
            <a:ext uri="{FF2B5EF4-FFF2-40B4-BE49-F238E27FC236}">
              <a16:creationId xmlns:a16="http://schemas.microsoft.com/office/drawing/2014/main" id="{2D6E45A2-8FB6-42FC-9EE9-220EA3E61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528454</xdr:colOff>
      <xdr:row>3</xdr:row>
      <xdr:rowOff>19250</xdr:rowOff>
    </xdr:from>
    <xdr:to>
      <xdr:col>14</xdr:col>
      <xdr:colOff>512412</xdr:colOff>
      <xdr:row>16</xdr:row>
      <xdr:rowOff>167473</xdr:rowOff>
    </xdr:to>
    <mc:AlternateContent xmlns:mc="http://schemas.openxmlformats.org/markup-compatibility/2006" xmlns:a14="http://schemas.microsoft.com/office/drawing/2010/main">
      <mc:Choice Requires="a14">
        <xdr:graphicFrame macro="">
          <xdr:nvGraphicFramePr>
            <xdr:cNvPr id="6" name="Sex 2">
              <a:extLst>
                <a:ext uri="{FF2B5EF4-FFF2-40B4-BE49-F238E27FC236}">
                  <a16:creationId xmlns:a16="http://schemas.microsoft.com/office/drawing/2014/main" id="{68FA43D5-62B9-FF2C-3D7F-9C1F6CF80637}"/>
                </a:ext>
              </a:extLst>
            </xdr:cNvPr>
            <xdr:cNvGraphicFramePr/>
          </xdr:nvGraphicFramePr>
          <xdr:xfrm>
            <a:off x="0" y="0"/>
            <a:ext cx="0" cy="0"/>
          </xdr:xfrm>
          <a:graphic>
            <a:graphicData uri="http://schemas.microsoft.com/office/drawing/2010/slicer">
              <sle:slicer xmlns:sle="http://schemas.microsoft.com/office/drawing/2010/slicer" name="Sex 2"/>
            </a:graphicData>
          </a:graphic>
        </xdr:graphicFrame>
      </mc:Choice>
      <mc:Fallback xmlns="">
        <xdr:sp macro="" textlink="">
          <xdr:nvSpPr>
            <xdr:cNvPr id="0" name=""/>
            <xdr:cNvSpPr>
              <a:spLocks noTextEdit="1"/>
            </xdr:cNvSpPr>
          </xdr:nvSpPr>
          <xdr:spPr>
            <a:xfrm>
              <a:off x="13776559" y="580724"/>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406935</xdr:colOff>
      <xdr:row>3</xdr:row>
      <xdr:rowOff>44784</xdr:rowOff>
    </xdr:from>
    <xdr:to>
      <xdr:col>11</xdr:col>
      <xdr:colOff>390893</xdr:colOff>
      <xdr:row>17</xdr:row>
      <xdr:rowOff>5849</xdr:rowOff>
    </xdr:to>
    <mc:AlternateContent xmlns:mc="http://schemas.openxmlformats.org/markup-compatibility/2006" xmlns:a14="http://schemas.microsoft.com/office/drawing/2010/main">
      <mc:Choice Requires="a14">
        <xdr:graphicFrame macro="">
          <xdr:nvGraphicFramePr>
            <xdr:cNvPr id="7" name="Country of Origin">
              <a:extLst>
                <a:ext uri="{FF2B5EF4-FFF2-40B4-BE49-F238E27FC236}">
                  <a16:creationId xmlns:a16="http://schemas.microsoft.com/office/drawing/2014/main" id="{DDEB9358-5C9C-30D2-A113-AAD8D23DB811}"/>
                </a:ext>
              </a:extLst>
            </xdr:cNvPr>
            <xdr:cNvGraphicFramePr/>
          </xdr:nvGraphicFramePr>
          <xdr:xfrm>
            <a:off x="0" y="0"/>
            <a:ext cx="0" cy="0"/>
          </xdr:xfrm>
          <a:graphic>
            <a:graphicData uri="http://schemas.microsoft.com/office/drawing/2010/slicer">
              <sle:slicer xmlns:sle="http://schemas.microsoft.com/office/drawing/2010/slicer" name="Country of Origin"/>
            </a:graphicData>
          </a:graphic>
        </xdr:graphicFrame>
      </mc:Choice>
      <mc:Fallback xmlns="">
        <xdr:sp macro="" textlink="">
          <xdr:nvSpPr>
            <xdr:cNvPr id="0" name=""/>
            <xdr:cNvSpPr>
              <a:spLocks noTextEdit="1"/>
            </xdr:cNvSpPr>
          </xdr:nvSpPr>
          <xdr:spPr>
            <a:xfrm>
              <a:off x="11810198" y="606258"/>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2</xdr:row>
      <xdr:rowOff>0</xdr:rowOff>
    </xdr:from>
    <xdr:to>
      <xdr:col>16</xdr:col>
      <xdr:colOff>247116</xdr:colOff>
      <xdr:row>17</xdr:row>
      <xdr:rowOff>64169</xdr:rowOff>
    </xdr:to>
    <xdr:graphicFrame macro="">
      <xdr:nvGraphicFramePr>
        <xdr:cNvPr id="2" name="Chart 1">
          <a:extLst>
            <a:ext uri="{FF2B5EF4-FFF2-40B4-BE49-F238E27FC236}">
              <a16:creationId xmlns:a16="http://schemas.microsoft.com/office/drawing/2014/main" id="{8A73D05A-484D-4D74-9A0D-153670E6C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74951</xdr:colOff>
      <xdr:row>23</xdr:row>
      <xdr:rowOff>137409</xdr:rowOff>
    </xdr:from>
    <xdr:to>
      <xdr:col>9</xdr:col>
      <xdr:colOff>62817</xdr:colOff>
      <xdr:row>29</xdr:row>
      <xdr:rowOff>149329</xdr:rowOff>
    </xdr:to>
    <mc:AlternateContent xmlns:mc="http://schemas.openxmlformats.org/markup-compatibility/2006" xmlns:a14="http://schemas.microsoft.com/office/drawing/2010/main">
      <mc:Choice Requires="a14">
        <xdr:graphicFrame macro="">
          <xdr:nvGraphicFramePr>
            <xdr:cNvPr id="3" name="Artist Name 4">
              <a:extLst>
                <a:ext uri="{FF2B5EF4-FFF2-40B4-BE49-F238E27FC236}">
                  <a16:creationId xmlns:a16="http://schemas.microsoft.com/office/drawing/2014/main" id="{4D63D626-8931-487C-B13C-3DE081914EF0}"/>
                </a:ext>
              </a:extLst>
            </xdr:cNvPr>
            <xdr:cNvGraphicFramePr/>
          </xdr:nvGraphicFramePr>
          <xdr:xfrm>
            <a:off x="0" y="0"/>
            <a:ext cx="0" cy="0"/>
          </xdr:xfrm>
          <a:graphic>
            <a:graphicData uri="http://schemas.microsoft.com/office/drawing/2010/slicer">
              <sle:slicer xmlns:sle="http://schemas.microsoft.com/office/drawing/2010/slicer" name="Artist Name 4"/>
            </a:graphicData>
          </a:graphic>
        </xdr:graphicFrame>
      </mc:Choice>
      <mc:Fallback xmlns="">
        <xdr:sp macro="" textlink="">
          <xdr:nvSpPr>
            <xdr:cNvPr id="0" name=""/>
            <xdr:cNvSpPr>
              <a:spLocks noTextEdit="1"/>
            </xdr:cNvSpPr>
          </xdr:nvSpPr>
          <xdr:spPr>
            <a:xfrm>
              <a:off x="7082853" y="4447081"/>
              <a:ext cx="1824161" cy="1136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14</xdr:col>
      <xdr:colOff>152400</xdr:colOff>
      <xdr:row>1</xdr:row>
      <xdr:rowOff>179813</xdr:rowOff>
    </xdr:from>
    <xdr:to>
      <xdr:col>17</xdr:col>
      <xdr:colOff>152402</xdr:colOff>
      <xdr:row>17</xdr:row>
      <xdr:rowOff>17178</xdr:rowOff>
    </xdr:to>
    <mc:AlternateContent xmlns:mc="http://schemas.openxmlformats.org/markup-compatibility/2006" xmlns:a14="http://schemas.microsoft.com/office/drawing/2010/main">
      <mc:Choice Requires="a14">
        <xdr:graphicFrame macro="">
          <xdr:nvGraphicFramePr>
            <xdr:cNvPr id="3" name="Primary Language">
              <a:extLst>
                <a:ext uri="{FF2B5EF4-FFF2-40B4-BE49-F238E27FC236}">
                  <a16:creationId xmlns:a16="http://schemas.microsoft.com/office/drawing/2014/main" id="{092FFA1A-518A-BB96-9C98-02563BC02E13}"/>
                </a:ext>
              </a:extLst>
            </xdr:cNvPr>
            <xdr:cNvGraphicFramePr/>
          </xdr:nvGraphicFramePr>
          <xdr:xfrm>
            <a:off x="0" y="0"/>
            <a:ext cx="0" cy="0"/>
          </xdr:xfrm>
          <a:graphic>
            <a:graphicData uri="http://schemas.microsoft.com/office/drawing/2010/slicer">
              <sle:slicer xmlns:sle="http://schemas.microsoft.com/office/drawing/2010/slicer" name="Primary Language"/>
            </a:graphicData>
          </a:graphic>
        </xdr:graphicFrame>
      </mc:Choice>
      <mc:Fallback xmlns="">
        <xdr:sp macro="" textlink="">
          <xdr:nvSpPr>
            <xdr:cNvPr id="0" name=""/>
            <xdr:cNvSpPr>
              <a:spLocks noTextEdit="1"/>
            </xdr:cNvSpPr>
          </xdr:nvSpPr>
          <xdr:spPr>
            <a:xfrm>
              <a:off x="12811991" y="370313"/>
              <a:ext cx="1818411" cy="28853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78898</xdr:colOff>
      <xdr:row>0</xdr:row>
      <xdr:rowOff>17063</xdr:rowOff>
    </xdr:from>
    <xdr:to>
      <xdr:col>13</xdr:col>
      <xdr:colOff>551793</xdr:colOff>
      <xdr:row>19</xdr:row>
      <xdr:rowOff>183930</xdr:rowOff>
    </xdr:to>
    <xdr:graphicFrame macro="">
      <xdr:nvGraphicFramePr>
        <xdr:cNvPr id="7" name="Chart 6">
          <a:extLst>
            <a:ext uri="{FF2B5EF4-FFF2-40B4-BE49-F238E27FC236}">
              <a16:creationId xmlns:a16="http://schemas.microsoft.com/office/drawing/2014/main" id="{9BF123C8-F191-9851-1DAF-EEB9A2F07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377607</xdr:colOff>
      <xdr:row>23</xdr:row>
      <xdr:rowOff>113963</xdr:rowOff>
    </xdr:from>
    <xdr:to>
      <xdr:col>17</xdr:col>
      <xdr:colOff>452037</xdr:colOff>
      <xdr:row>48</xdr:row>
      <xdr:rowOff>36871</xdr:rowOff>
    </xdr:to>
    <xdr:graphicFrame macro="">
      <xdr:nvGraphicFramePr>
        <xdr:cNvPr id="8" name="Chart 7">
          <a:extLst>
            <a:ext uri="{FF2B5EF4-FFF2-40B4-BE49-F238E27FC236}">
              <a16:creationId xmlns:a16="http://schemas.microsoft.com/office/drawing/2014/main" id="{56566657-A616-208D-1265-3F7E71C68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a Deshmukh" refreshedDate="46266.649363657409" createdVersion="8" refreshedVersion="8" minRefreshableVersion="3" recordCount="500" xr:uid="{0E14F409-704D-4807-9483-3FC2F9B9858E}">
  <cacheSource type="worksheet">
    <worksheetSource name="Table1"/>
  </cacheSource>
  <cacheFields count="14">
    <cacheField name="Artist Name" numFmtId="0">
      <sharedItems count="500">
        <s v="Drake"/>
        <s v="Taylor Swift"/>
        <s v="Bad Bunny"/>
        <s v="The Weeknd"/>
        <s v="Justin Bieber"/>
        <s v="Ariana Grande"/>
        <s v="Travis Scott"/>
        <s v="Kanye West"/>
        <s v="Ed Sheeran"/>
        <s v="Eminem"/>
        <s v="Rihanna"/>
        <s v="Billie Eilish"/>
        <s v="Bruno Mars"/>
        <s v="Kendrick Lamar"/>
        <s v="Post Malone"/>
        <s v="J Balvin"/>
        <s v="Future"/>
        <s v="BTS"/>
        <s v="Ozuna"/>
        <s v="Coldplay"/>
        <s v="Juice WRLD"/>
        <s v="Chris Brown"/>
        <s v="Nicki Minaj"/>
        <s v="Lana Del Rey"/>
        <s v="David Guetta"/>
        <s v="Dua Lipa"/>
        <s v="Daddy Yankee"/>
        <s v="Rauw Alejandro"/>
        <s v="Anuel AA"/>
        <s v="XXXTENTACION"/>
        <s v="Imagine Dragons"/>
        <s v="Lil Wayne"/>
        <s v="21 Savage"/>
        <s v="SZA"/>
        <s v="Arijit Singh"/>
        <s v="Lady Gaga"/>
        <s v="KAROL G"/>
        <s v="Lil Baby"/>
        <s v="Maroon 5"/>
        <s v="Khalid"/>
        <s v="BeyoncÃ©"/>
        <s v="Maluma"/>
        <s v="Feid"/>
        <s v="Calvin Harris"/>
        <s v="Myke Towers"/>
        <s v="Linkin Park"/>
        <s v="Peso Pluma"/>
        <s v="J. Cole"/>
        <s v="Lil Uzi Vert"/>
        <s v="Sia"/>
        <s v="Doja Cat"/>
        <s v="Shakira"/>
        <s v="Morgan Wallen"/>
        <s v="Young Thug"/>
        <s v="Farruko"/>
        <s v="Shawn Mendes"/>
        <s v="Harry Styles"/>
        <s v="Queen"/>
        <s v="Sam Smith"/>
        <s v="One Direction"/>
        <s v="Metro Boomin"/>
        <s v="Olivia Rodrigo"/>
        <s v="Adele"/>
        <s v="Pritam"/>
        <s v="Katy Perry"/>
        <s v="Gunna"/>
        <s v="Arctic Monkeys"/>
        <s v="Fuerza Regida"/>
        <s v="Junior H"/>
        <s v="Tyler, The Creator"/>
        <s v="Selena Gomez"/>
        <s v="Ty Dolla $ign"/>
        <s v="The Beatles"/>
        <s v="Pitbull"/>
        <s v="Nicky Jam"/>
        <s v="Playboi Carti"/>
        <s v="Halsey"/>
        <s v="Wiz Khalifa"/>
        <s v="Michael Jackson"/>
        <s v="Sabrina Carpenter"/>
        <s v="Frank Ocean"/>
        <s v="Die drei ???"/>
        <s v="JAÅ¸-Z"/>
        <s v="A$AP Rocky"/>
        <s v="Miley Cyrus"/>
        <s v="The Chainsmokers"/>
        <s v="Marshmello"/>
        <s v="Cardi B"/>
        <s v="Twenty One Pilots"/>
        <s v="Disney"/>
        <s v="ArcÃ¡ngel"/>
        <s v="Red Hot Chili Peppers"/>
        <s v="Camila Cabello"/>
        <s v="$uicideboy$"/>
        <s v="OneRepublic"/>
        <s v="Avicii"/>
        <s v="Diplo"/>
        <s v="Snoop Dogg"/>
        <s v="Romeo Santos"/>
        <s v="50 Cent"/>
        <s v="Natanael Cano"/>
        <s v="YoungBoy Never Broke Again"/>
        <s v="Mac Miller"/>
        <s v="DaBaby"/>
        <s v="Don Toliver"/>
        <s v="Zach Bryan"/>
        <s v="Kygo"/>
        <s v="Sech"/>
        <s v="The Neighbourhood"/>
        <s v="Quavo"/>
        <s v="Henrique &amp; Juliano"/>
        <s v="Luke Combs"/>
        <s v="Elton John"/>
        <s v="Manuel Turizo"/>
        <s v="Trippie Redd"/>
        <s v="Tate McRae"/>
        <s v="Lil Peep"/>
        <s v="Metallica"/>
        <s v="Don Omar"/>
        <s v="USHER"/>
        <s v="Charlie Puth"/>
        <s v="Justin Timberlake"/>
        <s v="TiÃ«sto"/>
        <s v="Sean Paul"/>
        <s v="Tyga"/>
        <s v="Kali Uchis"/>
        <s v="Kodak Black"/>
        <s v="Jason Derulo"/>
        <s v="BLACKPINK"/>
        <s v="JHAYCO"/>
        <s v="Bebe Rexha"/>
        <s v="Daft Punk"/>
        <s v="Luis Miguel"/>
        <s v="Demi Lovato"/>
        <s v="Akon"/>
        <s v="AC/DC"/>
        <s v="Sebastian Yatra"/>
        <s v="CarÃ­n LeÃ³n"/>
        <s v="Alan Walker"/>
        <s v="A Boogie Wit da Hoodie"/>
        <s v="Fleetwood Mac"/>
        <s v="Hozier"/>
        <s v="Ellie Goulding"/>
        <s v="Radiohead"/>
        <s v="Big Sean"/>
        <s v="Flo Rida"/>
        <s v="P!nk"/>
        <s v="Nirvana"/>
        <s v="Pop Smoke"/>
        <s v="Britney Spears"/>
        <s v="James Arthur"/>
        <s v="Tory Lanez"/>
        <s v="Pharrell Williams"/>
        <s v="DJ Snake"/>
        <s v="Daniel Caesar"/>
        <s v="Black Eyed Peas"/>
        <s v="Swae Lee"/>
        <s v="Shreya Ghoshal"/>
        <s v="Duki"/>
        <s v="Bizarrap"/>
        <s v="Migos"/>
        <s v="The Kid LAROI"/>
        <s v="MarÃ­lia MendonÃ§a"/>
        <s v="Anitta"/>
        <s v="Green Day"/>
        <s v="Lil Durk"/>
        <s v="Polo G"/>
        <s v="A.R. Rahman"/>
        <s v="G-Eazy"/>
        <s v="Kid Cudi"/>
        <s v="Justin Quiles"/>
        <s v="Bob Marley &amp; The Wailers"/>
        <s v="Stray Kids"/>
        <s v="Anirudh Ravichander"/>
        <s v="Ne-Yo"/>
        <s v="Gucci Mane"/>
        <s v="ROSALÃA"/>
        <s v="Charli xcx"/>
        <s v="Joji"/>
        <s v="Fall Out Boy"/>
        <s v="PARTYNEXTDOOR"/>
        <s v="Jorge &amp; Mateus"/>
        <s v="Offset"/>
        <s v="Panic! At The Disco"/>
        <s v="Tame Impala"/>
        <s v="Quevedo"/>
        <s v="Morat"/>
        <s v="Zara Larsson"/>
        <s v="Tito Double P"/>
        <s v="Jul"/>
        <s v="2Pac"/>
        <s v="Gorillaz"/>
        <s v="Lewis Capaldi"/>
        <s v="Grupo Frontera"/>
        <s v="Camilo"/>
        <s v="Lenny TavÃ¡rez"/>
        <s v="2 Chainz"/>
        <s v="NF"/>
        <s v="Bryson Tiller"/>
        <s v="Rels B"/>
        <s v="Roddy Ricch"/>
        <s v="Guns N' Roses"/>
        <s v="Mariah Carey"/>
        <s v="Noah Kahan"/>
        <s v="Megan Thee Stallion"/>
        <s v="Christian Nodal"/>
        <s v="Brent Faiyaz"/>
        <s v="Martin Garrix"/>
        <s v="Banda MS de Sergio LizÃ¡rraga"/>
        <s v="Pink Floyd"/>
        <s v="mgk"/>
        <s v="Wisin &amp; Yandel"/>
        <s v="Dr. Dre"/>
        <s v="Mora"/>
        <s v="Cigarettes After Sex"/>
        <s v="Childish Gambino"/>
        <s v="Wisin"/>
        <s v="Major Lazer"/>
        <s v="John Mayer"/>
        <s v="Miguel"/>
        <s v="Lil Nas X"/>
        <s v="System Of A Down"/>
        <s v="Logic"/>
        <s v="ABBA"/>
        <s v="Becky G"/>
        <s v="Yandel"/>
        <s v="Enrique Iglesias"/>
        <s v="Lil Yachty"/>
        <s v="Luis R Conriquez"/>
        <s v="Zion &amp; Lennox"/>
        <s v="5 Seconds of Summer"/>
        <s v="Jack Harlow"/>
        <s v="TWICE"/>
        <s v="Ã‘engo Flow"/>
        <s v="Ava Max"/>
        <s v="ZAYN"/>
        <s v="Michael BublÃ©"/>
        <s v="Macklemore"/>
        <s v="Anne-Marie"/>
        <s v="The Rolling Stones"/>
        <s v="Frank Sinatra"/>
        <s v="Robin Schulz"/>
        <s v="Bryant Myers"/>
        <s v="Gusttavo Lima"/>
        <s v="Eladio Carrion"/>
        <s v="Grupo Firme"/>
        <s v="Amitabh Bhattacharya"/>
        <s v="Alicia Keys"/>
        <s v="Kesha"/>
        <s v="LAUV"/>
        <s v="Madonna"/>
        <s v="Reik"/>
        <s v="John Legend"/>
        <s v="Meghan Trainor"/>
        <s v="Lil Tecca"/>
        <s v="Lorde"/>
        <s v="MC Ryan SP"/>
        <s v="Chris Stapleton"/>
        <s v="French Montana"/>
        <s v="Melanie Martinez"/>
        <s v="Elvis Presley"/>
        <s v="Rick Ross"/>
        <s v="Cris MJ"/>
        <s v="Zedd"/>
        <s v="Paramore"/>
        <s v="Chance the Rapper"/>
        <s v="Ninho"/>
        <s v="blackbear"/>
        <s v="Creedence Clearwater Revival"/>
        <s v="T-Pain"/>
        <s v="Jung Kook"/>
        <s v="Skrillex"/>
        <s v="DJ Khaled"/>
        <s v="Wizkid"/>
        <s v="Oasis"/>
        <s v="Christina Aguilera"/>
        <s v="Slipknot"/>
        <s v="Irshad Kamil"/>
        <s v="Little Mix"/>
        <s v="BeÃ©le"/>
        <s v="The Notorious B.I.G."/>
        <s v="Mitski"/>
        <s v="Tainy"/>
        <s v="ZÃ© Neto &amp; Cristiano"/>
        <s v="Rammstein"/>
        <s v="Labrinth"/>
        <s v="Chencho Corleone"/>
        <s v="Darell"/>
        <s v="Bon Jovi"/>
        <s v="The Killers"/>
        <s v="blink-182"/>
        <s v="Summer Walker"/>
        <s v="JhenÃ© Aiko"/>
        <s v="Kehlani"/>
        <s v="Clean Bandit"/>
        <s v="David Bowie"/>
        <s v="U2"/>
        <s v="Aventura"/>
        <s v="Foo Fighters"/>
        <s v="The 1975"/>
        <s v="Maria Becerra"/>
        <s v="Plan B"/>
        <s v="Steve Lacy"/>
        <s v="De La Ghetto"/>
        <s v="Troye Sivan"/>
        <s v="Conan Gray"/>
        <s v="Ludacris"/>
        <s v="Burna Boy"/>
        <s v="Danny Ocean"/>
        <s v="Meek Mill"/>
        <s v="My Chemical Romance"/>
        <s v="Alessia Cara"/>
        <s v="Vishal-Shekhar"/>
        <s v="Paulo Londra"/>
        <s v="La Arrolladora Banda El Limón"/>
        <s v="Yeat"/>
        <s v="Matheus &amp; Kauan"/>
        <s v="Alok"/>
        <s v="Bring Me The Horizon"/>
        <s v="Central Cee"/>
        <s v="League of Legends"/>
        <s v="Mac DeMarco"/>
        <s v="Benson Boone"/>
        <s v="Dalex"/>
        <s v="Nickelback"/>
        <s v="Marc Anthony"/>
        <s v="ManÃ¡"/>
        <s v="Led Zeppelin"/>
        <s v="MÃ¥neskin"/>
        <s v="Florida Georgia Line"/>
        <s v="Luis Fonsi"/>
        <s v="RAYE"/>
        <s v="Neton Vega"/>
        <s v="Gracie Abrams"/>
        <s v="Timbaland"/>
        <s v="Jeremih"/>
        <s v="The Lumineers"/>
        <s v="Oscar Maydon"/>
        <s v="Anderson .Paak"/>
        <s v="Chase Atlantic"/>
        <s v="JuliÃ³n Ãlvarez y su NorteÃ±o Banda"/>
        <s v="Prince Royce"/>
        <s v="Bastille"/>
        <s v="Sfera Ebbasta"/>
        <s v="Florence + The Machine"/>
        <s v="YG"/>
        <s v="Alejandro Sanz"/>
        <s v="Lil Tjay"/>
        <s v="GIVÄ’ON"/>
        <s v="Billy Joel"/>
        <s v="Luke Bryan"/>
        <s v="Muse"/>
        <s v="Jonas Blue"/>
        <s v="Teddy Swims"/>
        <s v="Juanes"/>
        <s v="Jennifer Lopez"/>
        <s v="Cartel De Santa"/>
        <s v="T.I."/>
        <s v="Gabito Ballesteros"/>
        <s v="El Alfa"/>
        <s v="Alka Yagnik"/>
        <s v="Blessd"/>
        <s v="NATTI NATASHA"/>
        <s v="Bruce Springsteen"/>
        <s v="Alfredo Olivas"/>
        <s v="Jonas Brothers"/>
        <s v="Hans Zimmer"/>
        <s v="Julia Michaels"/>
        <s v="Deftones"/>
        <s v="Clairo"/>
        <s v="Whitney Houston"/>
        <s v="Tove Lo"/>
        <s v="DJ Luian"/>
        <s v="Amy Winehouse"/>
        <s v="TV Girl"/>
        <s v="Tanishk Bagchi"/>
        <s v="Dave"/>
        <s v="Avril Lavigne"/>
        <s v="Lost Frequencies"/>
        <s v="Kings of Leon"/>
        <s v="Joan Sebastian"/>
        <s v="Alejandro FernÃ¡ndez"/>
        <s v="Glass Animals"/>
        <s v="Sachin-Jigar"/>
        <s v="Fetty Wap"/>
        <s v="NAV"/>
        <s v="Jack Johnson"/>
        <s v="SEVENTEEN"/>
        <s v="The Script"/>
        <s v="TINI"/>
        <s v="Backstreet Boys"/>
        <s v="Jimin"/>
        <s v="Mambo Kingz"/>
        <s v="NLE Choppa"/>
        <s v="GIMS"/>
        <s v="Calibre 50"/>
        <s v="Chappell Roan"/>
        <s v="Stevie Wonder"/>
        <s v="Juicy J"/>
        <s v="Mark Ronson"/>
        <s v="Kelly Clarkson"/>
        <s v="The Offspring"/>
        <s v="Bonez MC"/>
        <s v="Bibi Blocksberg"/>
        <s v="Milo j"/>
        <s v="Jay Wheeler"/>
        <s v="felix jaehn"/>
        <s v="Niall Horan"/>
        <s v="6ix9ine"/>
        <s v="Nate Dogg"/>
        <s v="Noriel"/>
        <s v="Vicente FernÃ¡ndez"/>
        <s v="Three Days Grace"/>
        <s v="Aerosmith"/>
        <s v="Bee Gees"/>
        <s v="Udit Narayan"/>
        <s v="Piso 21"/>
        <s v="Rod Wave"/>
        <s v="Vance Joy"/>
        <s v="Bon Iver"/>
        <s v="Eslabon Armado"/>
        <s v="JENNIE"/>
        <s v="Russ"/>
        <s v="Rae Sremmurd"/>
        <s v="Jess Glynne"/>
        <s v="The Smiths"/>
        <s v="Eagles"/>
        <s v="The Police"/>
        <s v="Phil Collins"/>
        <s v="The Strokes"/>
        <s v="Atif Aslam"/>
        <s v="Ovy On The Drums"/>
        <s v="Olivia Dean"/>
        <s v="Dire Straits"/>
        <s v="NewJeans"/>
        <s v="Avenged Sevenfold"/>
        <s v="Ricardo Arjona"/>
        <s v="Los Ãngeles Azules"/>
        <s v="Rex Orange County"/>
        <s v="ScHoolboy Q"/>
        <s v="6LACK"/>
        <s v="Disclosure"/>
        <s v="Brytiago"/>
        <s v="Alesso"/>
        <s v="RAF Camora"/>
        <s v="Nelly"/>
        <s v="Mumford &amp; Sons"/>
        <s v="Kumaar"/>
        <s v="Pearl Jam"/>
        <s v="Zion"/>
        <s v="Ryan Castro"/>
        <s v="Nelly Furtado"/>
        <s v="Wesley SafadÃ£o"/>
        <s v="Disturbed"/>
        <s v="H.E.R."/>
        <s v="Rita Ora"/>
        <s v="Kevin Gates"/>
        <s v="beabadoobee"/>
        <s v="Karan Aujla"/>
        <s v="CÃ©line Dion"/>
        <s v="Bryan Adams"/>
        <s v="ENHYPEN"/>
        <s v="Dominic Fike"/>
        <s v="Ana Castela"/>
        <s v="LANY"/>
        <s v="Johnny Cash"/>
        <s v="B.o.B"/>
        <s v="Jason Aldean"/>
        <s v="Luan Santana"/>
        <s v="KHEA"/>
        <s v="Maiara &amp; Maraisa"/>
        <s v="Mc IG"/>
        <s v="Tiago PZK"/>
        <s v="Tom Odell"/>
        <s v="Macklemore &amp; Ryan Lewis"/>
        <s v="Thomas Rhett"/>
        <s v="MÃ˜"/>
        <s v="Five Finger Death Punch"/>
        <s v="Kane Brown"/>
        <s v="Laufey"/>
        <s v="Grupo Menos Ã‰ Mais"/>
        <s v="Nicki Nicole"/>
        <s v="Moneybagg Yo"/>
        <s v="Magenta"/>
        <s v="Ryan Lewis"/>
        <s v="Morad"/>
        <s v="Calum Scott"/>
        <s v="TOMORROW X TOGETHER"/>
        <s v="Grupo Marca Registrada"/>
        <s v="benny blanco"/>
        <s v="JID"/>
        <s v="YNW Melly"/>
        <s v="Juan Gabriel"/>
        <s v="Los Temerarios"/>
        <s v="Jason Mraz"/>
        <s v="The Cure"/>
        <s v="The MarÃ­as"/>
        <s v="Limp Bizkit"/>
        <s v="Korn"/>
        <s v="Omar Courtz"/>
      </sharedItems>
    </cacheField>
    <cacheField name="Sex" numFmtId="0">
      <sharedItems count="3">
        <s v="Male"/>
        <s v="Female"/>
        <s v="Mixed"/>
      </sharedItems>
    </cacheField>
    <cacheField name="Country of Origin" numFmtId="0">
      <sharedItems count="43">
        <s v="Canada"/>
        <s v="United States"/>
        <s v="United Kingdom"/>
        <s v="Barbados"/>
        <s v="Colombia"/>
        <s v="South Korea"/>
        <s v="Trinidad and Tobago"/>
        <s v="France"/>
        <s v="India"/>
        <s v="Scotland"/>
        <s v="Mexico"/>
        <s v="Australia"/>
        <s v="Germany"/>
        <s v="Cuba"/>
        <s v="Sweden"/>
        <s v="Norway"/>
        <s v="Panama"/>
        <s v="Brazil"/>
        <s v="Netherlands"/>
        <s v="Jamaica"/>
        <s v="Senegal"/>
        <s v="Ireland"/>
        <s v="Argentina"/>
        <s v="Spain"/>
        <s v="Japan"/>
        <s v="New Zealand"/>
        <s v="Morocco"/>
        <s v="Chile"/>
        <s v="Russia"/>
        <s v="Nigeria"/>
        <s v="South Africa"/>
        <s v="Venezuela"/>
        <s v="Italy"/>
        <s v="Dominican Republic"/>
        <s v="Belgium"/>
        <s v="DR Congo"/>
        <s v="Nepal"/>
        <s v="Pakistan"/>
        <s v="Guatemala"/>
        <s v="Austria"/>
        <s v="Philippines"/>
        <s v="Denmark"/>
        <s v="Iceland"/>
      </sharedItems>
    </cacheField>
    <cacheField name="Primary Language" numFmtId="0">
      <sharedItems count="11">
        <s v="English"/>
        <s v="Spanish"/>
        <s v="Korean"/>
        <s v="Hindi"/>
        <s v="German"/>
        <s v="Portuguese"/>
        <s v="Tamil"/>
        <s v="French"/>
        <s v="Italian"/>
        <s v="Urdu"/>
        <s v="Punjabi"/>
      </sharedItems>
    </cacheField>
    <cacheField name="Primary Genre" numFmtId="0">
      <sharedItems count="23">
        <s v="Hip-Hop"/>
        <s v="Pop"/>
        <s v="Reggaeton"/>
        <s v="R&amp;B"/>
        <s v="K-Pop"/>
        <s v="Rock"/>
        <s v="Alternative"/>
        <s v="EDM"/>
        <s v="Filmi"/>
        <s v="Latin"/>
        <s v="Regional Mexican"/>
        <s v="Country"/>
        <s v="Spoken Word"/>
        <s v="Soundtrack"/>
        <s v="Bachata"/>
        <s v="Sertanjeo"/>
        <s v="Reggae"/>
        <s v="Folk"/>
        <s v="Metal"/>
        <s v="Afrobeats"/>
        <s v="Soul"/>
        <s v="Children's Music"/>
        <s v="Nu Metal"/>
      </sharedItems>
    </cacheField>
    <cacheField name=" Artist Type" numFmtId="0">
      <sharedItems count="2">
        <s v="Solo"/>
        <s v="Group"/>
      </sharedItems>
    </cacheField>
    <cacheField name="Debut Year" numFmtId="0">
      <sharedItems containsSemiMixedTypes="0" containsString="0" containsNumber="1" containsInteger="1" minValue="1939" maxValue="2023" count="61">
        <n v="2006"/>
        <n v="2013"/>
        <n v="2009"/>
        <n v="2004"/>
        <n v="2011"/>
        <n v="1996"/>
        <n v="2005"/>
        <n v="2015"/>
        <n v="2010"/>
        <n v="2012"/>
        <n v="1999"/>
        <n v="2007"/>
        <n v="1990"/>
        <n v="1991"/>
        <n v="2014"/>
        <n v="1997"/>
        <n v="2008"/>
        <n v="2017"/>
        <n v="2002"/>
        <n v="2016"/>
        <n v="2003"/>
        <n v="2000"/>
        <n v="2020"/>
        <n v="1973"/>
        <n v="2021"/>
        <n v="2001"/>
        <n v="2018"/>
        <n v="2019"/>
        <n v="1962"/>
        <n v="1995"/>
        <n v="1964"/>
        <n v="1979"/>
        <n v="1949"/>
        <n v="1984"/>
        <n v="1993"/>
        <n v="1969"/>
        <n v="1983"/>
        <n v="1994"/>
        <n v="1982"/>
        <n v="1975"/>
        <n v="1967"/>
        <n v="1992"/>
        <n v="1989"/>
        <n v="1998"/>
        <n v="2023"/>
        <n v="2022"/>
        <n v="1985"/>
        <n v="1972"/>
        <n v="1939"/>
        <n v="1954"/>
        <n v="1968"/>
        <n v="1988"/>
        <n v="1987"/>
        <n v="1971"/>
        <n v="1980"/>
        <n v="1977"/>
        <n v="1966"/>
        <n v="1963"/>
        <n v="1981"/>
        <n v="1978"/>
        <n v="1955"/>
      </sharedItems>
    </cacheField>
    <cacheField name="Total Streams (in millions)" numFmtId="0">
      <sharedItems containsSemiMixedTypes="0" containsString="0" containsNumber="1" minValue="6972" maxValue="137492.1"/>
    </cacheField>
    <cacheField name="Lead Streams (in millions)" numFmtId="0">
      <sharedItems containsSemiMixedTypes="0" containsString="0" containsNumber="1" minValue="0" maxValue="126177.3"/>
    </cacheField>
    <cacheField name="Feature Streams (in millions)" numFmtId="0">
      <sharedItems containsSemiMixedTypes="0" containsString="0" containsNumber="1" minValue="0" maxValue="43710.5"/>
    </cacheField>
    <cacheField name="Solo Streams (in millions)" numFmtId="0">
      <sharedItems containsSemiMixedTypes="0" containsString="0" containsNumber="1" minValue="0" maxValue="113421.5"/>
    </cacheField>
    <cacheField name="% of Solo Streams" numFmtId="0">
      <sharedItems containsSemiMixedTypes="0" containsString="0" containsNumber="1" minValue="0" maxValue="100"/>
    </cacheField>
    <cacheField name="Collaborative Streams (in millions)" numFmtId="0">
      <sharedItems containsSemiMixedTypes="0" containsString="0" containsNumber="1" minValue="0" maxValue="84168.2"/>
    </cacheField>
    <cacheField name="% of Collaborative Streams" numFmtId="9">
      <sharedItems containsSemiMixedTypes="0" containsString="0" containsNumber="1" minValue="0" maxValue="1"/>
    </cacheField>
  </cacheFields>
  <extLst>
    <ext xmlns:x14="http://schemas.microsoft.com/office/spreadsheetml/2009/9/main" uri="{725AE2AE-9491-48be-B2B4-4EB974FC3084}">
      <x14:pivotCacheDefinition pivotCacheId="12717436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n v="137492.1"/>
    <n v="94851.1"/>
    <n v="42640.9"/>
    <n v="53323.9"/>
    <n v="38.783246460000001"/>
    <n v="84168.2"/>
    <n v="0.61216753540000002"/>
  </r>
  <r>
    <x v="1"/>
    <x v="1"/>
    <x v="1"/>
    <x v="0"/>
    <x v="1"/>
    <x v="0"/>
    <x v="0"/>
    <n v="127861"/>
    <n v="126177.3"/>
    <n v="1683.8"/>
    <n v="113421.5"/>
    <n v="88.706877000000006"/>
    <n v="14439.5"/>
    <n v="0.11293122999999999"/>
  </r>
  <r>
    <x v="2"/>
    <x v="0"/>
    <x v="1"/>
    <x v="1"/>
    <x v="2"/>
    <x v="0"/>
    <x v="1"/>
    <n v="125899.8"/>
    <n v="82189.3"/>
    <n v="43710.5"/>
    <n v="48887"/>
    <n v="38.830085510000004"/>
    <n v="77012.800000000003"/>
    <n v="0.61169914489999999"/>
  </r>
  <r>
    <x v="3"/>
    <x v="0"/>
    <x v="0"/>
    <x v="0"/>
    <x v="3"/>
    <x v="0"/>
    <x v="2"/>
    <n v="95703.2"/>
    <n v="77189.399999999994"/>
    <n v="18513.8"/>
    <n v="51020"/>
    <n v="53.310652099999999"/>
    <n v="44683.199999999997"/>
    <n v="0.466893479"/>
  </r>
  <r>
    <x v="4"/>
    <x v="0"/>
    <x v="0"/>
    <x v="0"/>
    <x v="1"/>
    <x v="0"/>
    <x v="2"/>
    <n v="78104.399999999994"/>
    <n v="48316.2"/>
    <n v="29788.2"/>
    <n v="29638.3"/>
    <n v="37.947029870000001"/>
    <n v="48466.1"/>
    <n v="0.62052970129999996"/>
  </r>
  <r>
    <x v="5"/>
    <x v="1"/>
    <x v="1"/>
    <x v="0"/>
    <x v="1"/>
    <x v="0"/>
    <x v="1"/>
    <n v="68298.899999999994"/>
    <n v="57097.5"/>
    <n v="11201.4"/>
    <n v="41615.5"/>
    <n v="60.931435209999997"/>
    <n v="26683.4"/>
    <n v="0.39068564790000004"/>
  </r>
  <r>
    <x v="6"/>
    <x v="0"/>
    <x v="1"/>
    <x v="0"/>
    <x v="0"/>
    <x v="0"/>
    <x v="1"/>
    <n v="65349.7"/>
    <n v="35338.699999999997"/>
    <n v="30027"/>
    <n v="25309.9"/>
    <n v="38.72994061"/>
    <n v="40039.800000000003"/>
    <n v="0.61270059389999998"/>
  </r>
  <r>
    <x v="7"/>
    <x v="0"/>
    <x v="1"/>
    <x v="0"/>
    <x v="0"/>
    <x v="0"/>
    <x v="3"/>
    <n v="65142.9"/>
    <n v="46558.400000000001"/>
    <n v="18584.5"/>
    <n v="28473"/>
    <n v="43.708523880000001"/>
    <n v="36669.9"/>
    <n v="0.56291476119999995"/>
  </r>
  <r>
    <x v="8"/>
    <x v="0"/>
    <x v="2"/>
    <x v="0"/>
    <x v="1"/>
    <x v="0"/>
    <x v="4"/>
    <n v="64656.9"/>
    <n v="57704"/>
    <n v="6967.8"/>
    <n v="46700"/>
    <n v="72.227403420000002"/>
    <n v="17956.900000000001"/>
    <n v="0.27772596579999997"/>
  </r>
  <r>
    <x v="9"/>
    <x v="0"/>
    <x v="1"/>
    <x v="0"/>
    <x v="0"/>
    <x v="0"/>
    <x v="5"/>
    <n v="64549"/>
    <n v="54466.8"/>
    <n v="10100.700000000001"/>
    <n v="32940"/>
    <n v="51.030999710000003"/>
    <n v="31609"/>
    <n v="0.48969000289999998"/>
  </r>
  <r>
    <x v="10"/>
    <x v="1"/>
    <x v="3"/>
    <x v="0"/>
    <x v="1"/>
    <x v="0"/>
    <x v="6"/>
    <n v="60670.7"/>
    <n v="44824.4"/>
    <n v="15846.4"/>
    <n v="30261.8"/>
    <n v="49.878771800000003"/>
    <n v="30408.9"/>
    <n v="0.50121228200000001"/>
  </r>
  <r>
    <x v="11"/>
    <x v="1"/>
    <x v="1"/>
    <x v="0"/>
    <x v="1"/>
    <x v="0"/>
    <x v="7"/>
    <n v="58049.5"/>
    <n v="57160.1"/>
    <n v="889.4"/>
    <n v="51567.9"/>
    <n v="88.834356889999995"/>
    <n v="6481.6"/>
    <n v="0.11165643109999999"/>
  </r>
  <r>
    <x v="12"/>
    <x v="0"/>
    <x v="1"/>
    <x v="0"/>
    <x v="1"/>
    <x v="0"/>
    <x v="8"/>
    <n v="56727.1"/>
    <n v="40714"/>
    <n v="16013.1"/>
    <n v="33618.1"/>
    <n v="59.262856730000003"/>
    <n v="23109"/>
    <n v="0.40737143269999998"/>
  </r>
  <r>
    <x v="13"/>
    <x v="0"/>
    <x v="1"/>
    <x v="0"/>
    <x v="0"/>
    <x v="0"/>
    <x v="2"/>
    <n v="56459.5"/>
    <n v="40752.199999999997"/>
    <n v="15725"/>
    <n v="23403.5"/>
    <n v="41.451837159999997"/>
    <n v="33056"/>
    <n v="0.58548162840000006"/>
  </r>
  <r>
    <x v="14"/>
    <x v="0"/>
    <x v="1"/>
    <x v="0"/>
    <x v="1"/>
    <x v="0"/>
    <x v="4"/>
    <n v="55028.3"/>
    <n v="48805.599999999999"/>
    <n v="6235.6"/>
    <n v="25419.4"/>
    <n v="46.193322350000003"/>
    <n v="29608.9"/>
    <n v="0.53806677650000001"/>
  </r>
  <r>
    <x v="15"/>
    <x v="0"/>
    <x v="4"/>
    <x v="1"/>
    <x v="2"/>
    <x v="0"/>
    <x v="3"/>
    <n v="54649.2"/>
    <n v="25333.3"/>
    <n v="29334"/>
    <n v="7844.5"/>
    <n v="14.35428149"/>
    <n v="46804.7"/>
    <n v="0.85645718509999991"/>
  </r>
  <r>
    <x v="16"/>
    <x v="0"/>
    <x v="1"/>
    <x v="0"/>
    <x v="0"/>
    <x v="0"/>
    <x v="8"/>
    <n v="53951.5"/>
    <n v="27879"/>
    <n v="26072.5"/>
    <n v="12647.5"/>
    <n v="23.442350999999999"/>
    <n v="41304"/>
    <n v="0.76557648999999994"/>
  </r>
  <r>
    <x v="17"/>
    <x v="0"/>
    <x v="5"/>
    <x v="2"/>
    <x v="4"/>
    <x v="1"/>
    <x v="1"/>
    <n v="53308.9"/>
    <n v="47969.9"/>
    <n v="5339"/>
    <n v="44114.400000000001"/>
    <n v="82.752410949999998"/>
    <n v="9194.5"/>
    <n v="0.17247589049999998"/>
  </r>
  <r>
    <x v="18"/>
    <x v="0"/>
    <x v="1"/>
    <x v="1"/>
    <x v="2"/>
    <x v="0"/>
    <x v="9"/>
    <n v="47649.2"/>
    <n v="20247.099999999999"/>
    <n v="27418.9"/>
    <n v="8621.1"/>
    <n v="18.092853609999999"/>
    <n v="39028.1"/>
    <n v="0.81907146389999996"/>
  </r>
  <r>
    <x v="19"/>
    <x v="0"/>
    <x v="2"/>
    <x v="0"/>
    <x v="5"/>
    <x v="1"/>
    <x v="10"/>
    <n v="46720.4"/>
    <n v="42837.1"/>
    <n v="3901.3"/>
    <n v="38535.199999999997"/>
    <n v="82.480458220000003"/>
    <n v="8185.2"/>
    <n v="0.1751954178"/>
  </r>
  <r>
    <x v="20"/>
    <x v="0"/>
    <x v="1"/>
    <x v="0"/>
    <x v="0"/>
    <x v="0"/>
    <x v="7"/>
    <n v="46276.4"/>
    <n v="34132.1"/>
    <n v="12155.1"/>
    <n v="26675.7"/>
    <n v="57.64428521"/>
    <n v="19600.7"/>
    <n v="0.42355714789999999"/>
  </r>
  <r>
    <x v="21"/>
    <x v="0"/>
    <x v="1"/>
    <x v="0"/>
    <x v="3"/>
    <x v="0"/>
    <x v="6"/>
    <n v="43963.8"/>
    <n v="24455.7"/>
    <n v="19523.900000000001"/>
    <n v="12219.3"/>
    <n v="27.794003249999999"/>
    <n v="31744.5"/>
    <n v="0.72205996750000001"/>
  </r>
  <r>
    <x v="22"/>
    <x v="1"/>
    <x v="6"/>
    <x v="0"/>
    <x v="0"/>
    <x v="0"/>
    <x v="11"/>
    <n v="43330.3"/>
    <n v="16316.4"/>
    <n v="27027.9"/>
    <n v="9618.2000000000007"/>
    <n v="22.197399969999999"/>
    <n v="33712.1"/>
    <n v="0.77802600029999991"/>
  </r>
  <r>
    <x v="23"/>
    <x v="1"/>
    <x v="1"/>
    <x v="0"/>
    <x v="6"/>
    <x v="0"/>
    <x v="8"/>
    <n v="42464.1"/>
    <n v="38477.300000000003"/>
    <n v="3986.8"/>
    <n v="34578.400000000001"/>
    <n v="81.429725340000005"/>
    <n v="7885.7"/>
    <n v="0.1857027466"/>
  </r>
  <r>
    <x v="24"/>
    <x v="0"/>
    <x v="7"/>
    <x v="0"/>
    <x v="7"/>
    <x v="0"/>
    <x v="12"/>
    <n v="42059.5"/>
    <n v="30750.799999999999"/>
    <n v="11325.3"/>
    <n v="406.8"/>
    <n v="0.96720122679999998"/>
    <n v="41652.699999999997"/>
    <n v="0.99032798769999997"/>
  </r>
  <r>
    <x v="25"/>
    <x v="1"/>
    <x v="2"/>
    <x v="0"/>
    <x v="1"/>
    <x v="0"/>
    <x v="7"/>
    <n v="41944.1"/>
    <n v="28269.7"/>
    <n v="13687.6"/>
    <n v="23133.7"/>
    <n v="55.153644970000002"/>
    <n v="18810.400000000001"/>
    <n v="0.44846355029999996"/>
  </r>
  <r>
    <x v="26"/>
    <x v="0"/>
    <x v="1"/>
    <x v="1"/>
    <x v="2"/>
    <x v="0"/>
    <x v="13"/>
    <n v="41405.4"/>
    <n v="19772.099999999999"/>
    <n v="21650"/>
    <n v="10692.8"/>
    <n v="25.824650890000001"/>
    <n v="30712.6"/>
    <n v="0.7417534911"/>
  </r>
  <r>
    <x v="27"/>
    <x v="0"/>
    <x v="1"/>
    <x v="1"/>
    <x v="2"/>
    <x v="0"/>
    <x v="14"/>
    <n v="40738.6"/>
    <n v="24898"/>
    <n v="15857.7"/>
    <n v="10432.5"/>
    <n v="25.608391059999999"/>
    <n v="30306.1"/>
    <n v="0.74391608939999998"/>
  </r>
  <r>
    <x v="28"/>
    <x v="0"/>
    <x v="1"/>
    <x v="1"/>
    <x v="2"/>
    <x v="0"/>
    <x v="4"/>
    <n v="40453.300000000003"/>
    <n v="18355.599999999999"/>
    <n v="22118.9"/>
    <n v="6177"/>
    <n v="15.26945886"/>
    <n v="34276.300000000003"/>
    <n v="0.84730541140000004"/>
  </r>
  <r>
    <x v="29"/>
    <x v="0"/>
    <x v="1"/>
    <x v="0"/>
    <x v="0"/>
    <x v="0"/>
    <x v="1"/>
    <n v="40411.300000000003"/>
    <n v="34419.9"/>
    <n v="5998.9"/>
    <n v="28138.400000000001"/>
    <n v="69.630029219999997"/>
    <n v="12272.9"/>
    <n v="0.3036997078"/>
  </r>
  <r>
    <x v="30"/>
    <x v="0"/>
    <x v="1"/>
    <x v="0"/>
    <x v="5"/>
    <x v="1"/>
    <x v="9"/>
    <n v="40279.5"/>
    <n v="38006.699999999997"/>
    <n v="2283.1999999999998"/>
    <n v="33880.400000000001"/>
    <n v="84.113258610000003"/>
    <n v="6399.1"/>
    <n v="0.1588674139"/>
  </r>
  <r>
    <x v="31"/>
    <x v="0"/>
    <x v="1"/>
    <x v="0"/>
    <x v="0"/>
    <x v="0"/>
    <x v="15"/>
    <n v="40148.199999999997"/>
    <n v="15870.4"/>
    <n v="24279.9"/>
    <n v="4050.9"/>
    <n v="10.08986704"/>
    <n v="36097.300000000003"/>
    <n v="0.8991013296"/>
  </r>
  <r>
    <x v="32"/>
    <x v="0"/>
    <x v="2"/>
    <x v="0"/>
    <x v="0"/>
    <x v="0"/>
    <x v="14"/>
    <n v="39024.300000000003"/>
    <n v="15878"/>
    <n v="23155.599999999999"/>
    <n v="7883.1"/>
    <n v="20.200490460000001"/>
    <n v="31141.200000000001"/>
    <n v="0.79799509540000002"/>
  </r>
  <r>
    <x v="33"/>
    <x v="1"/>
    <x v="1"/>
    <x v="0"/>
    <x v="3"/>
    <x v="0"/>
    <x v="9"/>
    <n v="38879.599999999999"/>
    <n v="25267.5"/>
    <n v="13627.2"/>
    <n v="19804.599999999999"/>
    <n v="50.938281259999997"/>
    <n v="19075"/>
    <n v="0.49061718740000004"/>
  </r>
  <r>
    <x v="34"/>
    <x v="0"/>
    <x v="8"/>
    <x v="3"/>
    <x v="8"/>
    <x v="0"/>
    <x v="4"/>
    <n v="37687.800000000003"/>
    <n v="13330.4"/>
    <n v="24384.799999999999"/>
    <n v="4537.3999999999996"/>
    <n v="12.03943982"/>
    <n v="33150.400000000001"/>
    <n v="0.87960560180000003"/>
  </r>
  <r>
    <x v="35"/>
    <x v="1"/>
    <x v="1"/>
    <x v="0"/>
    <x v="1"/>
    <x v="0"/>
    <x v="16"/>
    <n v="37565.4"/>
    <n v="37009.699999999997"/>
    <n v="572"/>
    <n v="23546.2"/>
    <n v="62.680551780000002"/>
    <n v="14019.2"/>
    <n v="0.37319448219999996"/>
  </r>
  <r>
    <x v="36"/>
    <x v="1"/>
    <x v="4"/>
    <x v="1"/>
    <x v="2"/>
    <x v="0"/>
    <x v="11"/>
    <n v="37549.699999999997"/>
    <n v="29603.8"/>
    <n v="7961.5"/>
    <n v="14790.4"/>
    <n v="39.388863290000003"/>
    <n v="22759.3"/>
    <n v="0.60611136710000002"/>
  </r>
  <r>
    <x v="37"/>
    <x v="0"/>
    <x v="1"/>
    <x v="0"/>
    <x v="0"/>
    <x v="0"/>
    <x v="17"/>
    <n v="35931.9"/>
    <n v="18773.5"/>
    <n v="17171.5"/>
    <n v="8928.7999999999993"/>
    <n v="24.84922868"/>
    <n v="27003.1"/>
    <n v="0.75150771320000009"/>
  </r>
  <r>
    <x v="38"/>
    <x v="2"/>
    <x v="1"/>
    <x v="0"/>
    <x v="1"/>
    <x v="1"/>
    <x v="18"/>
    <n v="35794.1"/>
    <n v="35585.800000000003"/>
    <n v="222.6"/>
    <n v="23312.5"/>
    <n v="65.129448710000005"/>
    <n v="12481.6"/>
    <n v="0.34870551290000001"/>
  </r>
  <r>
    <x v="39"/>
    <x v="0"/>
    <x v="1"/>
    <x v="0"/>
    <x v="3"/>
    <x v="0"/>
    <x v="19"/>
    <n v="35727.199999999997"/>
    <n v="18499.900000000001"/>
    <n v="17234.400000000001"/>
    <n v="12520.6"/>
    <n v="35.045007730000002"/>
    <n v="23206.6"/>
    <n v="0.6495499227"/>
  </r>
  <r>
    <x v="40"/>
    <x v="1"/>
    <x v="1"/>
    <x v="0"/>
    <x v="1"/>
    <x v="0"/>
    <x v="20"/>
    <n v="34975.199999999997"/>
    <n v="29662.799999999999"/>
    <n v="5325.3"/>
    <n v="21863.9"/>
    <n v="62.51258034"/>
    <n v="13111.3"/>
    <n v="0.37487419659999999"/>
  </r>
  <r>
    <x v="41"/>
    <x v="0"/>
    <x v="4"/>
    <x v="1"/>
    <x v="9"/>
    <x v="0"/>
    <x v="8"/>
    <n v="34841"/>
    <n v="19449.8"/>
    <n v="15404.7"/>
    <n v="11616.3"/>
    <n v="33.340891480000003"/>
    <n v="23224.7"/>
    <n v="0.66659108519999999"/>
  </r>
  <r>
    <x v="42"/>
    <x v="0"/>
    <x v="4"/>
    <x v="1"/>
    <x v="2"/>
    <x v="0"/>
    <x v="7"/>
    <n v="34579.1"/>
    <n v="18725.599999999999"/>
    <n v="15774.1"/>
    <n v="9877.2999999999993"/>
    <n v="28.564364019999999"/>
    <n v="24701.8"/>
    <n v="0.71435635980000001"/>
  </r>
  <r>
    <x v="43"/>
    <x v="0"/>
    <x v="9"/>
    <x v="0"/>
    <x v="7"/>
    <x v="0"/>
    <x v="11"/>
    <n v="34129.699999999997"/>
    <n v="31846"/>
    <n v="2298.3000000000002"/>
    <n v="5998.8"/>
    <n v="17.576480310000001"/>
    <n v="28130.9"/>
    <n v="0.82423519690000002"/>
  </r>
  <r>
    <x v="44"/>
    <x v="0"/>
    <x v="1"/>
    <x v="1"/>
    <x v="2"/>
    <x v="0"/>
    <x v="19"/>
    <n v="33620.699999999997"/>
    <n v="14022.5"/>
    <n v="19614.7"/>
    <n v="9406.6"/>
    <n v="27.97859652"/>
    <n v="24214.1"/>
    <n v="0.72021403480000001"/>
  </r>
  <r>
    <x v="45"/>
    <x v="2"/>
    <x v="1"/>
    <x v="0"/>
    <x v="5"/>
    <x v="1"/>
    <x v="21"/>
    <n v="33224.699999999997"/>
    <n v="31426.6"/>
    <n v="1798.1"/>
    <n v="30151.200000000001"/>
    <n v="90.749352139999999"/>
    <n v="3073.5"/>
    <n v="9.2506478609999998E-2"/>
  </r>
  <r>
    <x v="46"/>
    <x v="0"/>
    <x v="10"/>
    <x v="1"/>
    <x v="10"/>
    <x v="0"/>
    <x v="22"/>
    <n v="33179.800000000003"/>
    <n v="18699.099999999999"/>
    <n v="14501.2"/>
    <n v="3938.3"/>
    <n v="11.86957125"/>
    <n v="29241.5"/>
    <n v="0.88130428749999989"/>
  </r>
  <r>
    <x v="47"/>
    <x v="0"/>
    <x v="1"/>
    <x v="0"/>
    <x v="0"/>
    <x v="0"/>
    <x v="11"/>
    <n v="32200.9"/>
    <n v="24334.7"/>
    <n v="7876.1"/>
    <n v="18999.5"/>
    <n v="59.003009230000004"/>
    <n v="13201.4"/>
    <n v="0.40996990769999997"/>
  </r>
  <r>
    <x v="48"/>
    <x v="0"/>
    <x v="1"/>
    <x v="0"/>
    <x v="0"/>
    <x v="0"/>
    <x v="14"/>
    <n v="32115.9"/>
    <n v="21117.5"/>
    <n v="11006.6"/>
    <n v="16803.2"/>
    <n v="52.32050168"/>
    <n v="15312.7"/>
    <n v="0.47679498320000002"/>
  </r>
  <r>
    <x v="49"/>
    <x v="1"/>
    <x v="11"/>
    <x v="0"/>
    <x v="1"/>
    <x v="0"/>
    <x v="15"/>
    <n v="31642.1"/>
    <n v="21063.200000000001"/>
    <n v="10588.2"/>
    <n v="15741.1"/>
    <n v="49.747330300000002"/>
    <n v="15901"/>
    <n v="0.50252669699999997"/>
  </r>
  <r>
    <x v="50"/>
    <x v="1"/>
    <x v="1"/>
    <x v="0"/>
    <x v="1"/>
    <x v="0"/>
    <x v="9"/>
    <n v="31214.3"/>
    <n v="25574.2"/>
    <n v="5650.9"/>
    <n v="18797.099999999999"/>
    <n v="60.219514770000004"/>
    <n v="12417.2"/>
    <n v="0.39780485229999996"/>
  </r>
  <r>
    <x v="51"/>
    <x v="1"/>
    <x v="4"/>
    <x v="1"/>
    <x v="9"/>
    <x v="0"/>
    <x v="13"/>
    <n v="31212.400000000001"/>
    <n v="24041"/>
    <n v="7171.5"/>
    <n v="11661.1"/>
    <n v="37.360472119999997"/>
    <n v="19551.3"/>
    <n v="0.62639527880000001"/>
  </r>
  <r>
    <x v="52"/>
    <x v="0"/>
    <x v="1"/>
    <x v="0"/>
    <x v="11"/>
    <x v="0"/>
    <x v="14"/>
    <n v="31171.1"/>
    <n v="26589.9"/>
    <n v="4600.3999999999996"/>
    <n v="23825.8"/>
    <n v="76.435544460000003"/>
    <n v="7345.3"/>
    <n v="0.23564455540000001"/>
  </r>
  <r>
    <x v="53"/>
    <x v="0"/>
    <x v="1"/>
    <x v="0"/>
    <x v="0"/>
    <x v="0"/>
    <x v="4"/>
    <n v="30933.8"/>
    <n v="10464.200000000001"/>
    <n v="20472.3"/>
    <n v="2792.1"/>
    <n v="9.0260491760000008"/>
    <n v="28141.7"/>
    <n v="0.90973950819999994"/>
  </r>
  <r>
    <x v="54"/>
    <x v="0"/>
    <x v="1"/>
    <x v="1"/>
    <x v="2"/>
    <x v="0"/>
    <x v="2"/>
    <n v="29775.3"/>
    <n v="8548.7000000000007"/>
    <n v="21237.200000000001"/>
    <n v="4615.8999999999996"/>
    <n v="15.50244666"/>
    <n v="25159.4"/>
    <n v="0.84497553339999998"/>
  </r>
  <r>
    <x v="55"/>
    <x v="0"/>
    <x v="0"/>
    <x v="0"/>
    <x v="1"/>
    <x v="0"/>
    <x v="14"/>
    <n v="29471.1"/>
    <n v="28781"/>
    <n v="699"/>
    <n v="22074.9"/>
    <n v="74.903549580000004"/>
    <n v="7396.2"/>
    <n v="0.25096450419999999"/>
  </r>
  <r>
    <x v="56"/>
    <x v="0"/>
    <x v="2"/>
    <x v="0"/>
    <x v="1"/>
    <x v="0"/>
    <x v="8"/>
    <n v="29449"/>
    <n v="29462.799999999999"/>
    <n v="0"/>
    <n v="29449"/>
    <n v="100"/>
    <n v="0"/>
    <n v="0"/>
  </r>
  <r>
    <x v="57"/>
    <x v="0"/>
    <x v="2"/>
    <x v="0"/>
    <x v="5"/>
    <x v="1"/>
    <x v="23"/>
    <n v="29370"/>
    <n v="29307.599999999999"/>
    <n v="70.8"/>
    <n v="26931.7"/>
    <n v="91.697991149999993"/>
    <n v="2438.3000000000002"/>
    <n v="8.3020088530000008E-2"/>
  </r>
  <r>
    <x v="58"/>
    <x v="0"/>
    <x v="2"/>
    <x v="0"/>
    <x v="1"/>
    <x v="0"/>
    <x v="9"/>
    <n v="29197.200000000001"/>
    <n v="24125.8"/>
    <n v="5078.3"/>
    <n v="17995.2"/>
    <n v="61.633307299999998"/>
    <n v="11202"/>
    <n v="0.38366692699999999"/>
  </r>
  <r>
    <x v="59"/>
    <x v="2"/>
    <x v="2"/>
    <x v="0"/>
    <x v="1"/>
    <x v="1"/>
    <x v="4"/>
    <n v="28889.5"/>
    <n v="28898.2"/>
    <n v="0"/>
    <n v="28801.9"/>
    <n v="99.696775650000006"/>
    <n v="87.6"/>
    <n v="3.032243549E-3"/>
  </r>
  <r>
    <x v="60"/>
    <x v="0"/>
    <x v="1"/>
    <x v="0"/>
    <x v="0"/>
    <x v="0"/>
    <x v="1"/>
    <n v="28848.7"/>
    <n v="13945.2"/>
    <n v="14911.9"/>
    <n v="119.7"/>
    <n v="0.41492337610000002"/>
    <n v="28729"/>
    <n v="0.9958507661999999"/>
  </r>
  <r>
    <x v="61"/>
    <x v="1"/>
    <x v="1"/>
    <x v="0"/>
    <x v="1"/>
    <x v="0"/>
    <x v="24"/>
    <n v="28799.7"/>
    <n v="28797.599999999999"/>
    <n v="2.2000000000000002"/>
    <n v="26750.5"/>
    <n v="92.884648100000007"/>
    <n v="2049.1999999999998"/>
    <n v="7.1153518959999995E-2"/>
  </r>
  <r>
    <x v="62"/>
    <x v="1"/>
    <x v="2"/>
    <x v="0"/>
    <x v="1"/>
    <x v="0"/>
    <x v="16"/>
    <n v="28690.5"/>
    <n v="28699.5"/>
    <n v="0"/>
    <n v="28537.7"/>
    <n v="99.467419530000001"/>
    <n v="152.80000000000001"/>
    <n v="5.3258047090000002E-3"/>
  </r>
  <r>
    <x v="63"/>
    <x v="0"/>
    <x v="8"/>
    <x v="3"/>
    <x v="1"/>
    <x v="0"/>
    <x v="25"/>
    <n v="28543.9"/>
    <n v="25181.4"/>
    <n v="3362.5"/>
    <n v="11.7"/>
    <n v="4.0989493379999999E-2"/>
    <n v="28532.2"/>
    <n v="0.99959010510000001"/>
  </r>
  <r>
    <x v="64"/>
    <x v="1"/>
    <x v="1"/>
    <x v="0"/>
    <x v="1"/>
    <x v="0"/>
    <x v="25"/>
    <n v="28248"/>
    <n v="25287.5"/>
    <n v="2977.8"/>
    <n v="19629.7"/>
    <n v="69.490583400000006"/>
    <n v="8618.2999999999993"/>
    <n v="0.305094166"/>
  </r>
  <r>
    <x v="65"/>
    <x v="0"/>
    <x v="1"/>
    <x v="0"/>
    <x v="0"/>
    <x v="0"/>
    <x v="1"/>
    <n v="28195.8"/>
    <n v="12491.3"/>
    <n v="15715.6"/>
    <n v="7949.8"/>
    <n v="28.19497939"/>
    <n v="20246"/>
    <n v="0.71805020610000003"/>
  </r>
  <r>
    <x v="66"/>
    <x v="0"/>
    <x v="2"/>
    <x v="0"/>
    <x v="5"/>
    <x v="1"/>
    <x v="6"/>
    <n v="28155.4"/>
    <n v="28166.2"/>
    <n v="0"/>
    <n v="28130.400000000001"/>
    <n v="99.911207090000005"/>
    <n v="25"/>
    <n v="8.8792913619999993E-4"/>
  </r>
  <r>
    <x v="67"/>
    <x v="0"/>
    <x v="1"/>
    <x v="1"/>
    <x v="9"/>
    <x v="1"/>
    <x v="26"/>
    <n v="27466.799999999999"/>
    <n v="19814.7"/>
    <n v="7652.1"/>
    <n v="11576.2"/>
    <n v="42.146154629999998"/>
    <n v="15890.6"/>
    <n v="0.57853845370000001"/>
  </r>
  <r>
    <x v="68"/>
    <x v="0"/>
    <x v="10"/>
    <x v="1"/>
    <x v="10"/>
    <x v="0"/>
    <x v="27"/>
    <n v="27406.799999999999"/>
    <n v="18341.2"/>
    <n v="9084.4"/>
    <n v="13658.7"/>
    <n v="49.836901789999999"/>
    <n v="13748.1"/>
    <n v="0.50163098210000001"/>
  </r>
  <r>
    <x v="69"/>
    <x v="0"/>
    <x v="1"/>
    <x v="0"/>
    <x v="0"/>
    <x v="0"/>
    <x v="2"/>
    <n v="27125.8"/>
    <n v="23925.9"/>
    <n v="3208.7"/>
    <n v="11656.5"/>
    <n v="42.972004509999998"/>
    <n v="15469.3"/>
    <n v="0.57027995490000005"/>
  </r>
  <r>
    <x v="70"/>
    <x v="1"/>
    <x v="1"/>
    <x v="0"/>
    <x v="1"/>
    <x v="0"/>
    <x v="16"/>
    <n v="26895.1"/>
    <n v="16017.5"/>
    <n v="10884.4"/>
    <n v="10921.5"/>
    <n v="40.607768700000001"/>
    <n v="15973.6"/>
    <n v="0.59392231299999998"/>
  </r>
  <r>
    <x v="71"/>
    <x v="0"/>
    <x v="1"/>
    <x v="0"/>
    <x v="3"/>
    <x v="0"/>
    <x v="4"/>
    <n v="26465.200000000001"/>
    <n v="5073.8"/>
    <n v="21394.799999999999"/>
    <n v="318.39999999999998"/>
    <n v="1.20308934"/>
    <n v="26146.799999999999"/>
    <n v="0.98796910659999992"/>
  </r>
  <r>
    <x v="72"/>
    <x v="0"/>
    <x v="2"/>
    <x v="0"/>
    <x v="5"/>
    <x v="1"/>
    <x v="28"/>
    <n v="26130.5"/>
    <n v="26138.7"/>
    <n v="2.2000000000000002"/>
    <n v="26123"/>
    <n v="99.971297910000004"/>
    <n v="7.5"/>
    <n v="2.8702091429999999E-4"/>
  </r>
  <r>
    <x v="73"/>
    <x v="0"/>
    <x v="1"/>
    <x v="0"/>
    <x v="1"/>
    <x v="0"/>
    <x v="3"/>
    <n v="25875.8"/>
    <n v="18250.900000000001"/>
    <n v="7641"/>
    <n v="2321.6999999999998"/>
    <n v="8.9724762130000002"/>
    <n v="23554.1"/>
    <n v="0.91027523790000009"/>
  </r>
  <r>
    <x v="74"/>
    <x v="0"/>
    <x v="1"/>
    <x v="1"/>
    <x v="2"/>
    <x v="0"/>
    <x v="29"/>
    <n v="25875.4"/>
    <n v="11175.4"/>
    <n v="14672"/>
    <n v="2972.5"/>
    <n v="11.48774512"/>
    <n v="22902.9"/>
    <n v="0.88512254879999996"/>
  </r>
  <r>
    <x v="75"/>
    <x v="0"/>
    <x v="1"/>
    <x v="0"/>
    <x v="0"/>
    <x v="0"/>
    <x v="4"/>
    <n v="25818.400000000001"/>
    <n v="15382.2"/>
    <n v="10446.9"/>
    <n v="10109.799999999999"/>
    <n v="39.157345149999998"/>
    <n v="15708.6"/>
    <n v="0.6084265485"/>
  </r>
  <r>
    <x v="76"/>
    <x v="1"/>
    <x v="1"/>
    <x v="0"/>
    <x v="1"/>
    <x v="0"/>
    <x v="14"/>
    <n v="25687.5"/>
    <n v="13902.2"/>
    <n v="11792.3"/>
    <n v="12376.1"/>
    <n v="48.179464719999999"/>
    <n v="13311.4"/>
    <n v="0.51820535280000002"/>
  </r>
  <r>
    <x v="77"/>
    <x v="0"/>
    <x v="1"/>
    <x v="0"/>
    <x v="0"/>
    <x v="0"/>
    <x v="0"/>
    <n v="25289.9"/>
    <n v="11748.9"/>
    <n v="13549.3"/>
    <n v="4844.5"/>
    <n v="19.155868550000001"/>
    <n v="20445.400000000001"/>
    <n v="0.80844131450000001"/>
  </r>
  <r>
    <x v="78"/>
    <x v="0"/>
    <x v="1"/>
    <x v="0"/>
    <x v="1"/>
    <x v="0"/>
    <x v="30"/>
    <n v="25264.400000000001"/>
    <n v="24355.5"/>
    <n v="908.9"/>
    <n v="22915.3"/>
    <n v="90.701936320000002"/>
    <n v="2349.1"/>
    <n v="9.2980636790000001E-2"/>
  </r>
  <r>
    <x v="79"/>
    <x v="1"/>
    <x v="1"/>
    <x v="0"/>
    <x v="1"/>
    <x v="0"/>
    <x v="14"/>
    <n v="24888.6"/>
    <n v="22789.599999999999"/>
    <n v="2114.3000000000002"/>
    <n v="22549.4"/>
    <n v="90.601319480000001"/>
    <n v="2339.1999999999998"/>
    <n v="9.3986805199999995E-2"/>
  </r>
  <r>
    <x v="80"/>
    <x v="0"/>
    <x v="1"/>
    <x v="0"/>
    <x v="3"/>
    <x v="0"/>
    <x v="4"/>
    <n v="24807.4"/>
    <n v="20425.400000000001"/>
    <n v="4391.5"/>
    <n v="18809.3"/>
    <n v="75.821327510000003"/>
    <n v="5998.1"/>
    <n v="0.2417867249"/>
  </r>
  <r>
    <x v="81"/>
    <x v="0"/>
    <x v="12"/>
    <x v="4"/>
    <x v="12"/>
    <x v="1"/>
    <x v="31"/>
    <n v="24607"/>
    <n v="24525.4"/>
    <n v="81.599999999999994"/>
    <n v="24410.799999999999"/>
    <n v="99.202665909999993"/>
    <n v="196.2"/>
    <n v="7.973340919E-3"/>
  </r>
  <r>
    <x v="82"/>
    <x v="0"/>
    <x v="1"/>
    <x v="0"/>
    <x v="0"/>
    <x v="0"/>
    <x v="5"/>
    <n v="24440.1"/>
    <n v="13311.3"/>
    <n v="11139.9"/>
    <n v="2764.3"/>
    <n v="11.31051019"/>
    <n v="21675.8"/>
    <n v="0.8868948981"/>
  </r>
  <r>
    <x v="83"/>
    <x v="0"/>
    <x v="1"/>
    <x v="0"/>
    <x v="0"/>
    <x v="0"/>
    <x v="4"/>
    <n v="24217.200000000001"/>
    <n v="14721.3"/>
    <n v="9504.2999999999993"/>
    <n v="6253.7"/>
    <n v="25.823381730000001"/>
    <n v="17963.5"/>
    <n v="0.74176618270000005"/>
  </r>
  <r>
    <x v="84"/>
    <x v="1"/>
    <x v="1"/>
    <x v="0"/>
    <x v="1"/>
    <x v="0"/>
    <x v="0"/>
    <n v="23907.599999999999"/>
    <n v="20739"/>
    <n v="3175.7"/>
    <n v="18453.900000000001"/>
    <n v="77.188425440000003"/>
    <n v="5453.7"/>
    <n v="0.2281157456"/>
  </r>
  <r>
    <x v="85"/>
    <x v="0"/>
    <x v="1"/>
    <x v="0"/>
    <x v="7"/>
    <x v="1"/>
    <x v="9"/>
    <n v="23845.1"/>
    <n v="22661.5"/>
    <n v="1189.8"/>
    <n v="3830.9"/>
    <n v="16.065774520000002"/>
    <n v="20014.2"/>
    <n v="0.83934225479999991"/>
  </r>
  <r>
    <x v="86"/>
    <x v="0"/>
    <x v="1"/>
    <x v="0"/>
    <x v="7"/>
    <x v="0"/>
    <x v="7"/>
    <n v="23705.9"/>
    <n v="17589.400000000001"/>
    <n v="6122.5"/>
    <n v="1704.1"/>
    <n v="7.1885058150000001"/>
    <n v="22001.8"/>
    <n v="0.92811494179999998"/>
  </r>
  <r>
    <x v="87"/>
    <x v="1"/>
    <x v="1"/>
    <x v="0"/>
    <x v="0"/>
    <x v="0"/>
    <x v="7"/>
    <n v="22494.9"/>
    <n v="10833.6"/>
    <n v="11666.6"/>
    <n v="4407.8"/>
    <n v="19.59466368"/>
    <n v="18087.099999999999"/>
    <n v="0.80405336319999998"/>
  </r>
  <r>
    <x v="88"/>
    <x v="0"/>
    <x v="1"/>
    <x v="0"/>
    <x v="6"/>
    <x v="1"/>
    <x v="2"/>
    <n v="22475.8"/>
    <n v="22215.200000000001"/>
    <n v="269.10000000000002"/>
    <n v="22142.6"/>
    <n v="98.517516619999995"/>
    <n v="333.2"/>
    <n v="1.4824833820000001E-2"/>
  </r>
  <r>
    <x v="89"/>
    <x v="2"/>
    <x v="1"/>
    <x v="0"/>
    <x v="13"/>
    <x v="1"/>
    <x v="32"/>
    <n v="22236.1"/>
    <n v="287.8"/>
    <n v="21966.6"/>
    <n v="0"/>
    <n v="0"/>
    <n v="22236.1"/>
    <n v="1"/>
  </r>
  <r>
    <x v="90"/>
    <x v="0"/>
    <x v="1"/>
    <x v="1"/>
    <x v="2"/>
    <x v="0"/>
    <x v="3"/>
    <n v="21937.3"/>
    <n v="8927.4"/>
    <n v="13023.3"/>
    <n v="3007"/>
    <n v="13.70724747"/>
    <n v="18930.3"/>
    <n v="0.86292752530000005"/>
  </r>
  <r>
    <x v="91"/>
    <x v="2"/>
    <x v="1"/>
    <x v="0"/>
    <x v="5"/>
    <x v="1"/>
    <x v="33"/>
    <n v="21873.8"/>
    <n v="21884.2"/>
    <n v="0"/>
    <n v="21872.400000000001"/>
    <n v="99.993599649999993"/>
    <n v="1.4"/>
    <n v="6.4003511049999997E-5"/>
  </r>
  <r>
    <x v="92"/>
    <x v="1"/>
    <x v="13"/>
    <x v="0"/>
    <x v="1"/>
    <x v="0"/>
    <x v="9"/>
    <n v="21546.2"/>
    <n v="12365.6"/>
    <n v="9186"/>
    <n v="6409.3"/>
    <n v="29.746776690000001"/>
    <n v="15136.9"/>
    <n v="0.7025322330999999"/>
  </r>
  <r>
    <x v="93"/>
    <x v="0"/>
    <x v="1"/>
    <x v="0"/>
    <x v="0"/>
    <x v="1"/>
    <x v="14"/>
    <n v="21202.3"/>
    <n v="20357.3"/>
    <n v="851.6"/>
    <n v="16646.900000000001"/>
    <n v="78.514595110000002"/>
    <n v="4555.3999999999996"/>
    <n v="0.21485404890000001"/>
  </r>
  <r>
    <x v="94"/>
    <x v="2"/>
    <x v="1"/>
    <x v="0"/>
    <x v="1"/>
    <x v="1"/>
    <x v="11"/>
    <n v="21182.2"/>
    <n v="19519.400000000001"/>
    <n v="1669.7"/>
    <n v="17506.599999999999"/>
    <n v="82.647694759999993"/>
    <n v="3675.6"/>
    <n v="0.17352305239999999"/>
  </r>
  <r>
    <x v="95"/>
    <x v="0"/>
    <x v="14"/>
    <x v="0"/>
    <x v="7"/>
    <x v="0"/>
    <x v="0"/>
    <n v="21003.5"/>
    <n v="20142.3"/>
    <n v="867.4"/>
    <n v="14179.7"/>
    <n v="67.511129100000005"/>
    <n v="6823.8"/>
    <n v="0.324888709"/>
  </r>
  <r>
    <x v="96"/>
    <x v="0"/>
    <x v="1"/>
    <x v="0"/>
    <x v="7"/>
    <x v="0"/>
    <x v="18"/>
    <n v="20670.8"/>
    <n v="5352.4"/>
    <n v="15318.4"/>
    <n v="32.5"/>
    <n v="0.1572266192"/>
    <n v="20638.3"/>
    <n v="0.99842773379999994"/>
  </r>
  <r>
    <x v="97"/>
    <x v="0"/>
    <x v="1"/>
    <x v="0"/>
    <x v="0"/>
    <x v="0"/>
    <x v="34"/>
    <n v="20644.8"/>
    <n v="7762"/>
    <n v="12890.7"/>
    <n v="1744.2"/>
    <n v="8.4486166009999994"/>
    <n v="18900.599999999999"/>
    <n v="0.91551383400000008"/>
  </r>
  <r>
    <x v="98"/>
    <x v="0"/>
    <x v="1"/>
    <x v="1"/>
    <x v="14"/>
    <x v="0"/>
    <x v="4"/>
    <n v="20549.2"/>
    <n v="14249.8"/>
    <n v="6311"/>
    <n v="8225.7000000000007"/>
    <n v="40.02929554"/>
    <n v="12323.5"/>
    <n v="0.59970704460000002"/>
  </r>
  <r>
    <x v="99"/>
    <x v="0"/>
    <x v="1"/>
    <x v="0"/>
    <x v="0"/>
    <x v="0"/>
    <x v="20"/>
    <n v="20444.599999999999"/>
    <n v="14112.2"/>
    <n v="6342"/>
    <n v="8484.4"/>
    <n v="41.499466849999997"/>
    <n v="11960.2"/>
    <n v="0.5850053315"/>
  </r>
  <r>
    <x v="100"/>
    <x v="0"/>
    <x v="10"/>
    <x v="1"/>
    <x v="10"/>
    <x v="0"/>
    <x v="26"/>
    <n v="20300.7"/>
    <n v="13993.4"/>
    <n v="6316.3"/>
    <n v="7574.2"/>
    <n v="37.310043499999999"/>
    <n v="12726.5"/>
    <n v="0.62689956499999999"/>
  </r>
  <r>
    <x v="101"/>
    <x v="0"/>
    <x v="1"/>
    <x v="0"/>
    <x v="0"/>
    <x v="0"/>
    <x v="7"/>
    <n v="20138.099999999999"/>
    <n v="15305.8"/>
    <n v="4841.7"/>
    <n v="13558.6"/>
    <n v="67.328099469999998"/>
    <n v="6579.5"/>
    <n v="0.32671900530000003"/>
  </r>
  <r>
    <x v="102"/>
    <x v="0"/>
    <x v="1"/>
    <x v="0"/>
    <x v="0"/>
    <x v="0"/>
    <x v="11"/>
    <n v="20091.099999999999"/>
    <n v="18765.5"/>
    <n v="1328"/>
    <n v="12865.2"/>
    <n v="64.034323659999998"/>
    <n v="7225.9"/>
    <n v="0.35965676340000002"/>
  </r>
  <r>
    <x v="103"/>
    <x v="0"/>
    <x v="1"/>
    <x v="0"/>
    <x v="0"/>
    <x v="0"/>
    <x v="7"/>
    <n v="19977.5"/>
    <n v="9365.1"/>
    <n v="10617.1"/>
    <n v="5320.2"/>
    <n v="26.630959829999998"/>
    <n v="14657.3"/>
    <n v="0.73369040170000011"/>
  </r>
  <r>
    <x v="104"/>
    <x v="0"/>
    <x v="1"/>
    <x v="0"/>
    <x v="0"/>
    <x v="0"/>
    <x v="17"/>
    <n v="19830.5"/>
    <n v="12351.9"/>
    <n v="7494"/>
    <n v="8302.6"/>
    <n v="41.867829860000001"/>
    <n v="11527.9"/>
    <n v="0.58132170139999995"/>
  </r>
  <r>
    <x v="105"/>
    <x v="0"/>
    <x v="1"/>
    <x v="0"/>
    <x v="11"/>
    <x v="0"/>
    <x v="27"/>
    <n v="19727.2"/>
    <n v="19690.8"/>
    <n v="47.3"/>
    <n v="15838.7"/>
    <n v="80.288637010000002"/>
    <n v="3888.5"/>
    <n v="0.1971136299"/>
  </r>
  <r>
    <x v="106"/>
    <x v="0"/>
    <x v="15"/>
    <x v="0"/>
    <x v="7"/>
    <x v="0"/>
    <x v="1"/>
    <n v="19707.8"/>
    <n v="17829.8"/>
    <n v="1883.3"/>
    <n v="250.7"/>
    <n v="1.2720851639999999"/>
    <n v="19457.099999999999"/>
    <n v="0.98727914839999997"/>
  </r>
  <r>
    <x v="107"/>
    <x v="0"/>
    <x v="16"/>
    <x v="1"/>
    <x v="2"/>
    <x v="0"/>
    <x v="14"/>
    <n v="19528.3"/>
    <n v="7512.9"/>
    <n v="12015.4"/>
    <n v="2397.8000000000002"/>
    <n v="12.27859056"/>
    <n v="17130.5"/>
    <n v="0.87721409439999998"/>
  </r>
  <r>
    <x v="108"/>
    <x v="0"/>
    <x v="1"/>
    <x v="0"/>
    <x v="6"/>
    <x v="1"/>
    <x v="4"/>
    <n v="19440.5"/>
    <n v="19435.599999999999"/>
    <n v="14.3"/>
    <n v="18793.5"/>
    <n v="96.6718963"/>
    <n v="647"/>
    <n v="3.328103701E-2"/>
  </r>
  <r>
    <x v="109"/>
    <x v="0"/>
    <x v="1"/>
    <x v="0"/>
    <x v="0"/>
    <x v="0"/>
    <x v="16"/>
    <n v="19383.5"/>
    <n v="2977.3"/>
    <n v="16406.099999999999"/>
    <n v="809.7"/>
    <n v="4.1772641679999998"/>
    <n v="18573.8"/>
    <n v="0.95822735829999994"/>
  </r>
  <r>
    <x v="110"/>
    <x v="0"/>
    <x v="17"/>
    <x v="5"/>
    <x v="15"/>
    <x v="1"/>
    <x v="16"/>
    <n v="19231.7"/>
    <n v="15881.4"/>
    <n v="3360.5"/>
    <n v="15399.4"/>
    <n v="80.073004470000001"/>
    <n v="3832.3"/>
    <n v="0.1992699553"/>
  </r>
  <r>
    <x v="111"/>
    <x v="0"/>
    <x v="1"/>
    <x v="0"/>
    <x v="11"/>
    <x v="0"/>
    <x v="14"/>
    <n v="19101.599999999999"/>
    <n v="17465.400000000001"/>
    <n v="1647.2"/>
    <n v="16648"/>
    <n v="87.155002719999999"/>
    <n v="2453.6"/>
    <n v="0.12844997280000001"/>
  </r>
  <r>
    <x v="112"/>
    <x v="0"/>
    <x v="2"/>
    <x v="0"/>
    <x v="5"/>
    <x v="0"/>
    <x v="35"/>
    <n v="19090.400000000001"/>
    <n v="17435.400000000001"/>
    <n v="1662.4"/>
    <n v="12211.1"/>
    <n v="63.964610479999997"/>
    <n v="6879.3"/>
    <n v="0.36035389520000005"/>
  </r>
  <r>
    <x v="113"/>
    <x v="0"/>
    <x v="4"/>
    <x v="1"/>
    <x v="9"/>
    <x v="0"/>
    <x v="19"/>
    <n v="18912.7"/>
    <n v="8490.9"/>
    <n v="10429.4"/>
    <n v="5716.7"/>
    <n v="30.226778830000001"/>
    <n v="13196"/>
    <n v="0.69773221169999999"/>
  </r>
  <r>
    <x v="114"/>
    <x v="0"/>
    <x v="1"/>
    <x v="0"/>
    <x v="0"/>
    <x v="0"/>
    <x v="19"/>
    <n v="18889.599999999999"/>
    <n v="11762.8"/>
    <n v="7126.8"/>
    <n v="5822.1"/>
    <n v="30.821722009999998"/>
    <n v="13067.5"/>
    <n v="0.69178277990000003"/>
  </r>
  <r>
    <x v="115"/>
    <x v="1"/>
    <x v="0"/>
    <x v="0"/>
    <x v="1"/>
    <x v="0"/>
    <x v="17"/>
    <n v="18707.3"/>
    <n v="16893.7"/>
    <n v="1823.3"/>
    <n v="15280.9"/>
    <n v="81.684155380000007"/>
    <n v="3426.4"/>
    <n v="0.18315844619999999"/>
  </r>
  <r>
    <x v="116"/>
    <x v="0"/>
    <x v="1"/>
    <x v="0"/>
    <x v="0"/>
    <x v="0"/>
    <x v="14"/>
    <n v="18649.5"/>
    <n v="17855.2"/>
    <n v="801"/>
    <n v="9452.7000000000007"/>
    <n v="50.68607737"/>
    <n v="9196.7999999999993"/>
    <n v="0.49313922630000001"/>
  </r>
  <r>
    <x v="117"/>
    <x v="0"/>
    <x v="1"/>
    <x v="0"/>
    <x v="5"/>
    <x v="1"/>
    <x v="36"/>
    <n v="18627"/>
    <n v="18557"/>
    <n v="77.900000000000006"/>
    <n v="18283.099999999999"/>
    <n v="98.1537553"/>
    <n v="343.9"/>
    <n v="1.8462446990000003E-2"/>
  </r>
  <r>
    <x v="118"/>
    <x v="0"/>
    <x v="1"/>
    <x v="1"/>
    <x v="2"/>
    <x v="0"/>
    <x v="20"/>
    <n v="18580.599999999999"/>
    <n v="14990.8"/>
    <n v="3601.2"/>
    <n v="8321.9"/>
    <n v="44.788112329999997"/>
    <n v="10258.700000000001"/>
    <n v="0.55211887670000004"/>
  </r>
  <r>
    <x v="119"/>
    <x v="0"/>
    <x v="1"/>
    <x v="0"/>
    <x v="3"/>
    <x v="0"/>
    <x v="37"/>
    <n v="18413.2"/>
    <n v="12525.4"/>
    <n v="5896.3"/>
    <n v="5222.1000000000004"/>
    <n v="28.360632590000002"/>
    <n v="13191.1"/>
    <n v="0.7163936741000001"/>
  </r>
  <r>
    <x v="120"/>
    <x v="0"/>
    <x v="1"/>
    <x v="0"/>
    <x v="1"/>
    <x v="0"/>
    <x v="7"/>
    <n v="18309.3"/>
    <n v="14642.3"/>
    <n v="3673.3"/>
    <n v="8613.7000000000007"/>
    <n v="47.045490540000003"/>
    <n v="9695.6"/>
    <n v="0.52954509459999999"/>
  </r>
  <r>
    <x v="121"/>
    <x v="0"/>
    <x v="1"/>
    <x v="0"/>
    <x v="1"/>
    <x v="0"/>
    <x v="18"/>
    <n v="18270.8"/>
    <n v="13165.8"/>
    <n v="5114.8999999999996"/>
    <n v="8899.2000000000007"/>
    <n v="48.707226830000003"/>
    <n v="9371.6"/>
    <n v="0.51292773169999994"/>
  </r>
  <r>
    <x v="122"/>
    <x v="0"/>
    <x v="18"/>
    <x v="0"/>
    <x v="7"/>
    <x v="0"/>
    <x v="37"/>
    <n v="18217.099999999999"/>
    <n v="13653.1"/>
    <n v="4569.1000000000004"/>
    <n v="3490.5"/>
    <n v="19.160568919999999"/>
    <n v="14726.6"/>
    <n v="0.80839431080000002"/>
  </r>
  <r>
    <x v="123"/>
    <x v="0"/>
    <x v="19"/>
    <x v="0"/>
    <x v="16"/>
    <x v="0"/>
    <x v="5"/>
    <n v="18203.3"/>
    <n v="9674.9"/>
    <n v="8539.4"/>
    <n v="4460.6000000000004"/>
    <n v="24.504348109999999"/>
    <n v="13742.7"/>
    <n v="0.75495651890000004"/>
  </r>
  <r>
    <x v="124"/>
    <x v="0"/>
    <x v="1"/>
    <x v="0"/>
    <x v="0"/>
    <x v="0"/>
    <x v="16"/>
    <n v="18064.3"/>
    <n v="7403"/>
    <n v="10664.8"/>
    <n v="2757.4"/>
    <n v="15.2643612"/>
    <n v="15306.9"/>
    <n v="0.84735638800000002"/>
  </r>
  <r>
    <x v="125"/>
    <x v="1"/>
    <x v="4"/>
    <x v="0"/>
    <x v="3"/>
    <x v="0"/>
    <x v="9"/>
    <n v="18005.3"/>
    <n v="10367"/>
    <n v="7646.6"/>
    <n v="7259.1"/>
    <n v="40.316462370000004"/>
    <n v="10746.2"/>
    <n v="0.59683537629999994"/>
  </r>
  <r>
    <x v="126"/>
    <x v="0"/>
    <x v="1"/>
    <x v="0"/>
    <x v="0"/>
    <x v="0"/>
    <x v="2"/>
    <n v="17738.8"/>
    <n v="11748.1"/>
    <n v="5997.1"/>
    <n v="7693.4"/>
    <n v="43.370464740000003"/>
    <n v="10045.4"/>
    <n v="0.56629535259999997"/>
  </r>
  <r>
    <x v="127"/>
    <x v="0"/>
    <x v="1"/>
    <x v="0"/>
    <x v="1"/>
    <x v="0"/>
    <x v="2"/>
    <n v="17720.2"/>
    <n v="13610.1"/>
    <n v="4116.2"/>
    <n v="8342.7000000000007"/>
    <n v="47.080168399999998"/>
    <n v="9377.5"/>
    <n v="0.529198316"/>
  </r>
  <r>
    <x v="128"/>
    <x v="1"/>
    <x v="5"/>
    <x v="2"/>
    <x v="4"/>
    <x v="1"/>
    <x v="19"/>
    <n v="17517.400000000001"/>
    <n v="7595.2"/>
    <n v="9927.7999999999993"/>
    <n v="15415.4"/>
    <n v="88.000502359999999"/>
    <n v="2102"/>
    <n v="0.11999497639999999"/>
  </r>
  <r>
    <x v="129"/>
    <x v="0"/>
    <x v="1"/>
    <x v="1"/>
    <x v="2"/>
    <x v="0"/>
    <x v="17"/>
    <n v="17516.099999999999"/>
    <n v="16311.4"/>
    <n v="1210.7"/>
    <n v="2137.8000000000002"/>
    <n v="12.20477161"/>
    <n v="15378.3"/>
    <n v="0.87795228390000002"/>
  </r>
  <r>
    <x v="130"/>
    <x v="1"/>
    <x v="1"/>
    <x v="0"/>
    <x v="1"/>
    <x v="0"/>
    <x v="14"/>
    <n v="17440.2"/>
    <n v="5933.3"/>
    <n v="11512.1"/>
    <n v="2784"/>
    <n v="15.963119689999999"/>
    <n v="14656.2"/>
    <n v="0.84036880310000006"/>
  </r>
  <r>
    <x v="131"/>
    <x v="0"/>
    <x v="7"/>
    <x v="0"/>
    <x v="7"/>
    <x v="1"/>
    <x v="37"/>
    <n v="17316.599999999999"/>
    <n v="10309.700000000001"/>
    <n v="7013.9"/>
    <n v="6283"/>
    <n v="36.28310407"/>
    <n v="11033.6"/>
    <n v="0.63716895929999995"/>
  </r>
  <r>
    <x v="132"/>
    <x v="0"/>
    <x v="10"/>
    <x v="1"/>
    <x v="9"/>
    <x v="0"/>
    <x v="38"/>
    <n v="17314.099999999999"/>
    <n v="17301.5"/>
    <n v="20"/>
    <n v="17281"/>
    <n v="99.808826330000002"/>
    <n v="33.1"/>
    <n v="1.9117366769999999E-3"/>
  </r>
  <r>
    <x v="133"/>
    <x v="1"/>
    <x v="1"/>
    <x v="0"/>
    <x v="1"/>
    <x v="0"/>
    <x v="16"/>
    <n v="17119.5"/>
    <n v="11625.6"/>
    <n v="5498.6"/>
    <n v="10006"/>
    <n v="58.447968690000003"/>
    <n v="7113.5"/>
    <n v="0.41552031309999998"/>
  </r>
  <r>
    <x v="134"/>
    <x v="0"/>
    <x v="20"/>
    <x v="0"/>
    <x v="3"/>
    <x v="0"/>
    <x v="3"/>
    <n v="17056"/>
    <n v="8007.4"/>
    <n v="9059.5"/>
    <n v="4403.1000000000004"/>
    <n v="25.81554878"/>
    <n v="12652.9"/>
    <n v="0.74184451220000003"/>
  </r>
  <r>
    <x v="135"/>
    <x v="0"/>
    <x v="11"/>
    <x v="0"/>
    <x v="5"/>
    <x v="1"/>
    <x v="39"/>
    <n v="17010.5"/>
    <n v="17018"/>
    <n v="0"/>
    <n v="17010.5"/>
    <n v="100"/>
    <n v="0"/>
    <n v="0"/>
  </r>
  <r>
    <x v="136"/>
    <x v="0"/>
    <x v="4"/>
    <x v="1"/>
    <x v="9"/>
    <x v="0"/>
    <x v="1"/>
    <n v="16984.3"/>
    <n v="10969.8"/>
    <n v="6018.9"/>
    <n v="4419.3"/>
    <n v="26.019912510000001"/>
    <n v="12565"/>
    <n v="0.73980087490000002"/>
  </r>
  <r>
    <x v="137"/>
    <x v="0"/>
    <x v="10"/>
    <x v="1"/>
    <x v="10"/>
    <x v="0"/>
    <x v="8"/>
    <n v="16969.400000000001"/>
    <n v="10480.799999999999"/>
    <n v="6497.7"/>
    <n v="7429.1"/>
    <n v="43.779391140000001"/>
    <n v="9540.2999999999993"/>
    <n v="0.56220608859999999"/>
  </r>
  <r>
    <x v="138"/>
    <x v="0"/>
    <x v="15"/>
    <x v="0"/>
    <x v="7"/>
    <x v="0"/>
    <x v="14"/>
    <n v="16893.400000000001"/>
    <n v="13879.3"/>
    <n v="3019.1"/>
    <n v="5321.5"/>
    <n v="31.50046764"/>
    <n v="11571.9"/>
    <n v="0.68499532360000004"/>
  </r>
  <r>
    <x v="139"/>
    <x v="0"/>
    <x v="1"/>
    <x v="0"/>
    <x v="0"/>
    <x v="0"/>
    <x v="19"/>
    <n v="16877.3"/>
    <n v="11425.9"/>
    <n v="5455.1"/>
    <n v="6395.3"/>
    <n v="37.892909410000001"/>
    <n v="10482"/>
    <n v="0.62107090590000003"/>
  </r>
  <r>
    <x v="140"/>
    <x v="2"/>
    <x v="2"/>
    <x v="0"/>
    <x v="5"/>
    <x v="1"/>
    <x v="40"/>
    <n v="16577.5"/>
    <n v="16577.5"/>
    <n v="0.4"/>
    <n v="16567.400000000001"/>
    <n v="99.939074050000002"/>
    <n v="10.1"/>
    <n v="6.0925953850000003E-4"/>
  </r>
  <r>
    <x v="141"/>
    <x v="0"/>
    <x v="21"/>
    <x v="0"/>
    <x v="5"/>
    <x v="0"/>
    <x v="1"/>
    <n v="16556.5"/>
    <n v="15920.4"/>
    <n v="641.79999999999995"/>
    <n v="15519.5"/>
    <n v="93.736598920000006"/>
    <n v="1037"/>
    <n v="6.2634010810000001E-2"/>
  </r>
  <r>
    <x v="142"/>
    <x v="1"/>
    <x v="2"/>
    <x v="0"/>
    <x v="1"/>
    <x v="0"/>
    <x v="2"/>
    <n v="16553.3"/>
    <n v="11362.1"/>
    <n v="5197.6000000000004"/>
    <n v="8685.9"/>
    <n v="52.4723167"/>
    <n v="7867.4"/>
    <n v="0.47527683300000001"/>
  </r>
  <r>
    <x v="143"/>
    <x v="0"/>
    <x v="2"/>
    <x v="0"/>
    <x v="5"/>
    <x v="1"/>
    <x v="41"/>
    <n v="16454.900000000001"/>
    <n v="16461.5"/>
    <n v="3"/>
    <n v="16382.5"/>
    <n v="99.560009480000005"/>
    <n v="72.400000000000006"/>
    <n v="4.3999051950000005E-3"/>
  </r>
  <r>
    <x v="144"/>
    <x v="0"/>
    <x v="1"/>
    <x v="0"/>
    <x v="0"/>
    <x v="0"/>
    <x v="11"/>
    <n v="16428.900000000001"/>
    <n v="12009.4"/>
    <n v="4364.5"/>
    <n v="2139"/>
    <n v="13.01973961"/>
    <n v="14289.9"/>
    <n v="0.86980260389999997"/>
  </r>
  <r>
    <x v="145"/>
    <x v="0"/>
    <x v="1"/>
    <x v="0"/>
    <x v="0"/>
    <x v="0"/>
    <x v="11"/>
    <n v="16366.1"/>
    <n v="14784.2"/>
    <n v="1492.7"/>
    <n v="4359.8"/>
    <n v="26.639211540000002"/>
    <n v="12006.3"/>
    <n v="0.73360788459999993"/>
  </r>
  <r>
    <x v="146"/>
    <x v="1"/>
    <x v="1"/>
    <x v="0"/>
    <x v="1"/>
    <x v="0"/>
    <x v="21"/>
    <n v="16271.6"/>
    <n v="7125.4"/>
    <n v="9125"/>
    <n v="11023"/>
    <n v="67.743799010000004"/>
    <n v="5248.6"/>
    <n v="0.32256200990000006"/>
  </r>
  <r>
    <x v="147"/>
    <x v="0"/>
    <x v="1"/>
    <x v="0"/>
    <x v="5"/>
    <x v="1"/>
    <x v="42"/>
    <n v="16228.7"/>
    <n v="16236"/>
    <n v="0"/>
    <n v="16228.7"/>
    <n v="100"/>
    <n v="0"/>
    <n v="0"/>
  </r>
  <r>
    <x v="148"/>
    <x v="0"/>
    <x v="1"/>
    <x v="0"/>
    <x v="0"/>
    <x v="0"/>
    <x v="26"/>
    <n v="16217.4"/>
    <n v="14631.5"/>
    <n v="1588.4"/>
    <n v="7841.6"/>
    <n v="48.353003559999998"/>
    <n v="8375.7999999999993"/>
    <n v="0.51646996440000004"/>
  </r>
  <r>
    <x v="149"/>
    <x v="1"/>
    <x v="1"/>
    <x v="0"/>
    <x v="1"/>
    <x v="0"/>
    <x v="43"/>
    <n v="16148.3"/>
    <n v="14108.3"/>
    <n v="2048.1"/>
    <n v="13480.8"/>
    <n v="83.481233320000001"/>
    <n v="2667.5"/>
    <n v="0.16518766679999999"/>
  </r>
  <r>
    <x v="150"/>
    <x v="0"/>
    <x v="2"/>
    <x v="0"/>
    <x v="1"/>
    <x v="0"/>
    <x v="9"/>
    <n v="16111.6"/>
    <n v="14817.7"/>
    <n v="1297.5999999999999"/>
    <n v="12881.3"/>
    <n v="79.950470469999999"/>
    <n v="3230.3"/>
    <n v="0.20049529530000001"/>
  </r>
  <r>
    <x v="151"/>
    <x v="0"/>
    <x v="0"/>
    <x v="0"/>
    <x v="0"/>
    <x v="0"/>
    <x v="2"/>
    <n v="16021.1"/>
    <n v="11602.1"/>
    <n v="4424.8"/>
    <n v="8229.4"/>
    <n v="51.366011069999999"/>
    <n v="7791.7"/>
    <n v="0.48633988929999999"/>
  </r>
  <r>
    <x v="152"/>
    <x v="0"/>
    <x v="1"/>
    <x v="0"/>
    <x v="0"/>
    <x v="0"/>
    <x v="0"/>
    <n v="15952.2"/>
    <n v="4000.7"/>
    <n v="11957.2"/>
    <n v="2951.3"/>
    <n v="18.500896430000001"/>
    <n v="13000.9"/>
    <n v="0.81499103569999998"/>
  </r>
  <r>
    <x v="153"/>
    <x v="0"/>
    <x v="7"/>
    <x v="0"/>
    <x v="7"/>
    <x v="0"/>
    <x v="1"/>
    <n v="15921.1"/>
    <n v="12030.1"/>
    <n v="3896.3"/>
    <n v="527.5"/>
    <n v="3.3132132830000001"/>
    <n v="15393.6"/>
    <n v="0.96686786719999995"/>
  </r>
  <r>
    <x v="154"/>
    <x v="0"/>
    <x v="0"/>
    <x v="0"/>
    <x v="3"/>
    <x v="0"/>
    <x v="14"/>
    <n v="15876.2"/>
    <n v="12905.1"/>
    <n v="2982.4"/>
    <n v="7353.2"/>
    <n v="46.315869040000003"/>
    <n v="8523"/>
    <n v="0.53684130959999998"/>
  </r>
  <r>
    <x v="155"/>
    <x v="2"/>
    <x v="1"/>
    <x v="0"/>
    <x v="0"/>
    <x v="1"/>
    <x v="43"/>
    <n v="15775.7"/>
    <n v="15257.4"/>
    <n v="527.70000000000005"/>
    <n v="11623"/>
    <n v="73.676603889999996"/>
    <n v="4152.7"/>
    <n v="0.26323396110000002"/>
  </r>
  <r>
    <x v="156"/>
    <x v="0"/>
    <x v="1"/>
    <x v="0"/>
    <x v="0"/>
    <x v="0"/>
    <x v="8"/>
    <n v="15746"/>
    <n v="502.4"/>
    <n v="15243.6"/>
    <n v="142.80000000000001"/>
    <n v="0.90689698969999999"/>
    <n v="15603.2"/>
    <n v="0.99093103009999994"/>
  </r>
  <r>
    <x v="157"/>
    <x v="1"/>
    <x v="8"/>
    <x v="3"/>
    <x v="8"/>
    <x v="0"/>
    <x v="18"/>
    <n v="15723"/>
    <n v="2035.3"/>
    <n v="13703.9"/>
    <n v="690.5"/>
    <n v="4.391655536"/>
    <n v="15032.5"/>
    <n v="0.95608344459999994"/>
  </r>
  <r>
    <x v="158"/>
    <x v="0"/>
    <x v="22"/>
    <x v="1"/>
    <x v="0"/>
    <x v="0"/>
    <x v="19"/>
    <n v="15684.7"/>
    <n v="7885.7"/>
    <n v="7799"/>
    <n v="3430.6"/>
    <n v="21.87227043"/>
    <n v="12254.1"/>
    <n v="0.78127729570000004"/>
  </r>
  <r>
    <x v="159"/>
    <x v="0"/>
    <x v="22"/>
    <x v="1"/>
    <x v="9"/>
    <x v="0"/>
    <x v="17"/>
    <n v="15638.8"/>
    <n v="13216.1"/>
    <n v="2427.1999999999998"/>
    <n v="84.5"/>
    <n v="0.54032278690000002"/>
    <n v="15554.3"/>
    <n v="0.99459677209999997"/>
  </r>
  <r>
    <x v="160"/>
    <x v="0"/>
    <x v="1"/>
    <x v="0"/>
    <x v="0"/>
    <x v="1"/>
    <x v="1"/>
    <n v="15562.1"/>
    <n v="13694"/>
    <n v="1874.1"/>
    <n v="4814.8999999999996"/>
    <n v="30.939911710000001"/>
    <n v="10747.2"/>
    <n v="0.69060088289999999"/>
  </r>
  <r>
    <x v="161"/>
    <x v="0"/>
    <x v="11"/>
    <x v="0"/>
    <x v="0"/>
    <x v="0"/>
    <x v="26"/>
    <n v="15561.7"/>
    <n v="10487.9"/>
    <n v="5077.6000000000004"/>
    <n v="6776.1"/>
    <n v="43.543443199999999"/>
    <n v="8785.6"/>
    <n v="0.56456556800000002"/>
  </r>
  <r>
    <x v="162"/>
    <x v="1"/>
    <x v="17"/>
    <x v="5"/>
    <x v="15"/>
    <x v="0"/>
    <x v="4"/>
    <n v="15528.2"/>
    <n v="7743.7"/>
    <n v="7783.6"/>
    <n v="7736.5"/>
    <n v="49.822258859999998"/>
    <n v="7791.7"/>
    <n v="0.50177741139999998"/>
  </r>
  <r>
    <x v="163"/>
    <x v="1"/>
    <x v="17"/>
    <x v="5"/>
    <x v="1"/>
    <x v="0"/>
    <x v="9"/>
    <n v="15525.6"/>
    <n v="11131.7"/>
    <n v="4374.8"/>
    <n v="3212"/>
    <n v="20.6884114"/>
    <n v="12313.6"/>
    <n v="0.79311588599999994"/>
  </r>
  <r>
    <x v="164"/>
    <x v="0"/>
    <x v="1"/>
    <x v="0"/>
    <x v="5"/>
    <x v="1"/>
    <x v="12"/>
    <n v="15453.3"/>
    <n v="15342.6"/>
    <n v="118.3"/>
    <n v="15333.7"/>
    <n v="99.226055279999997"/>
    <n v="119.6"/>
    <n v="7.7394472379999999E-3"/>
  </r>
  <r>
    <x v="165"/>
    <x v="0"/>
    <x v="1"/>
    <x v="0"/>
    <x v="0"/>
    <x v="0"/>
    <x v="4"/>
    <n v="15329.4"/>
    <n v="6848.7"/>
    <n v="8480.7000000000007"/>
    <n v="2898.8"/>
    <n v="18.91006823"/>
    <n v="12430.6"/>
    <n v="0.81089931770000012"/>
  </r>
  <r>
    <x v="166"/>
    <x v="0"/>
    <x v="1"/>
    <x v="0"/>
    <x v="0"/>
    <x v="0"/>
    <x v="17"/>
    <n v="15252.2"/>
    <n v="13192.5"/>
    <n v="2067.1"/>
    <n v="7139.4"/>
    <n v="46.808984930000001"/>
    <n v="8112.8"/>
    <n v="0.53191015070000003"/>
  </r>
  <r>
    <x v="167"/>
    <x v="0"/>
    <x v="8"/>
    <x v="6"/>
    <x v="8"/>
    <x v="0"/>
    <x v="41"/>
    <n v="15240.4"/>
    <n v="10857.5"/>
    <n v="4397.5"/>
    <n v="594.9"/>
    <n v="3.9034408549999999"/>
    <n v="14645.5"/>
    <n v="0.96096559150000005"/>
  </r>
  <r>
    <x v="168"/>
    <x v="0"/>
    <x v="1"/>
    <x v="0"/>
    <x v="0"/>
    <x v="0"/>
    <x v="0"/>
    <n v="15133"/>
    <n v="11606.5"/>
    <n v="3518.6"/>
    <n v="1928.5"/>
    <n v="12.74367277"/>
    <n v="13204.5"/>
    <n v="0.87256327229999997"/>
  </r>
  <r>
    <x v="169"/>
    <x v="0"/>
    <x v="1"/>
    <x v="0"/>
    <x v="0"/>
    <x v="0"/>
    <x v="16"/>
    <n v="15086.8"/>
    <n v="10607.6"/>
    <n v="4483.8999999999996"/>
    <n v="5835.1"/>
    <n v="38.67685659"/>
    <n v="9251.7000000000007"/>
    <n v="0.61323143410000003"/>
  </r>
  <r>
    <x v="170"/>
    <x v="0"/>
    <x v="1"/>
    <x v="1"/>
    <x v="2"/>
    <x v="0"/>
    <x v="8"/>
    <n v="15041.1"/>
    <n v="4978.8999999999996"/>
    <n v="10062.1"/>
    <n v="2069.9"/>
    <n v="13.76162648"/>
    <n v="12971.2"/>
    <n v="0.8623837352"/>
  </r>
  <r>
    <x v="171"/>
    <x v="0"/>
    <x v="19"/>
    <x v="0"/>
    <x v="16"/>
    <x v="1"/>
    <x v="28"/>
    <n v="14992.7"/>
    <n v="14837.1"/>
    <n v="161.6"/>
    <n v="13836"/>
    <n v="92.284911989999998"/>
    <n v="1156.7"/>
    <n v="7.7150880089999999E-2"/>
  </r>
  <r>
    <x v="172"/>
    <x v="0"/>
    <x v="5"/>
    <x v="2"/>
    <x v="4"/>
    <x v="1"/>
    <x v="26"/>
    <n v="14947.4"/>
    <n v="14819"/>
    <n v="136.5"/>
    <n v="13482.3"/>
    <n v="90.198295360000003"/>
    <n v="1465.1"/>
    <n v="9.8017046440000005E-2"/>
  </r>
  <r>
    <x v="173"/>
    <x v="0"/>
    <x v="8"/>
    <x v="6"/>
    <x v="8"/>
    <x v="0"/>
    <x v="9"/>
    <n v="14897.8"/>
    <n v="12456.5"/>
    <n v="2450"/>
    <n v="1543.3"/>
    <n v="10.35924767"/>
    <n v="13354.5"/>
    <n v="0.89640752329999995"/>
  </r>
  <r>
    <x v="174"/>
    <x v="0"/>
    <x v="1"/>
    <x v="0"/>
    <x v="3"/>
    <x v="0"/>
    <x v="0"/>
    <n v="14888.6"/>
    <n v="8808.5"/>
    <n v="6090.2"/>
    <n v="8012"/>
    <n v="53.81298443"/>
    <n v="6876.6"/>
    <n v="0.46187015570000001"/>
  </r>
  <r>
    <x v="175"/>
    <x v="0"/>
    <x v="1"/>
    <x v="0"/>
    <x v="0"/>
    <x v="0"/>
    <x v="6"/>
    <n v="14880.2"/>
    <n v="7106.1"/>
    <n v="7779.1"/>
    <n v="1618.8"/>
    <n v="10.878886039999999"/>
    <n v="13261.4"/>
    <n v="0.89121113959999998"/>
  </r>
  <r>
    <x v="176"/>
    <x v="1"/>
    <x v="23"/>
    <x v="1"/>
    <x v="1"/>
    <x v="0"/>
    <x v="19"/>
    <n v="14558.4"/>
    <n v="10084"/>
    <n v="4479.1000000000004"/>
    <n v="5316.8"/>
    <n v="36.52049676"/>
    <n v="9241.6"/>
    <n v="0.63479503240000001"/>
  </r>
  <r>
    <x v="177"/>
    <x v="1"/>
    <x v="2"/>
    <x v="0"/>
    <x v="1"/>
    <x v="0"/>
    <x v="16"/>
    <n v="14544.4"/>
    <n v="10175.299999999999"/>
    <n v="4376"/>
    <n v="6747.8"/>
    <n v="46.394488600000003"/>
    <n v="7796.6"/>
    <n v="0.53605511399999994"/>
  </r>
  <r>
    <x v="178"/>
    <x v="0"/>
    <x v="24"/>
    <x v="0"/>
    <x v="3"/>
    <x v="0"/>
    <x v="17"/>
    <n v="14512.1"/>
    <n v="13579.3"/>
    <n v="938.4"/>
    <n v="12111.7"/>
    <n v="83.459320149999996"/>
    <n v="2400.4"/>
    <n v="0.16540679850000001"/>
  </r>
  <r>
    <x v="179"/>
    <x v="0"/>
    <x v="1"/>
    <x v="0"/>
    <x v="5"/>
    <x v="1"/>
    <x v="20"/>
    <n v="14507.7"/>
    <n v="10717.2"/>
    <n v="3796.5"/>
    <n v="12380.2"/>
    <n v="85.335373630000007"/>
    <n v="2127.5"/>
    <n v="0.1466462637"/>
  </r>
  <r>
    <x v="180"/>
    <x v="0"/>
    <x v="0"/>
    <x v="0"/>
    <x v="3"/>
    <x v="0"/>
    <x v="1"/>
    <n v="14506.3"/>
    <n v="13237.2"/>
    <n v="1275"/>
    <n v="7177.2"/>
    <n v="49.476434380000001"/>
    <n v="7329.1"/>
    <n v="0.50523565619999999"/>
  </r>
  <r>
    <x v="181"/>
    <x v="0"/>
    <x v="17"/>
    <x v="5"/>
    <x v="15"/>
    <x v="1"/>
    <x v="11"/>
    <n v="14404.4"/>
    <n v="11024"/>
    <n v="3391.4"/>
    <n v="10484.4"/>
    <n v="72.786093140000006"/>
    <n v="3920"/>
    <n v="0.27213906860000003"/>
  </r>
  <r>
    <x v="182"/>
    <x v="0"/>
    <x v="1"/>
    <x v="0"/>
    <x v="0"/>
    <x v="0"/>
    <x v="7"/>
    <n v="14402.6"/>
    <n v="13416.1"/>
    <n v="990"/>
    <n v="791.1"/>
    <n v="5.4927582519999998"/>
    <n v="13611.5"/>
    <n v="0.94507241750000004"/>
  </r>
  <r>
    <x v="183"/>
    <x v="0"/>
    <x v="1"/>
    <x v="0"/>
    <x v="5"/>
    <x v="1"/>
    <x v="6"/>
    <n v="14402.3"/>
    <n v="4417.2"/>
    <n v="9988.5"/>
    <n v="13038"/>
    <n v="90.52720746"/>
    <n v="1364.3"/>
    <n v="9.472792540000001E-2"/>
  </r>
  <r>
    <x v="184"/>
    <x v="0"/>
    <x v="11"/>
    <x v="0"/>
    <x v="5"/>
    <x v="0"/>
    <x v="16"/>
    <n v="14387.1"/>
    <n v="13232.8"/>
    <n v="1165.4000000000001"/>
    <n v="12678.8"/>
    <n v="88.126168579999998"/>
    <n v="1708.3"/>
    <n v="0.1187383142"/>
  </r>
  <r>
    <x v="185"/>
    <x v="0"/>
    <x v="23"/>
    <x v="1"/>
    <x v="2"/>
    <x v="0"/>
    <x v="22"/>
    <n v="14345.2"/>
    <n v="7659.9"/>
    <n v="6698.1"/>
    <n v="4914.8999999999996"/>
    <n v="34.261634549999997"/>
    <n v="9430.2999999999993"/>
    <n v="0.65738365450000003"/>
  </r>
  <r>
    <x v="186"/>
    <x v="0"/>
    <x v="4"/>
    <x v="1"/>
    <x v="9"/>
    <x v="1"/>
    <x v="7"/>
    <n v="14293.7"/>
    <n v="11695.5"/>
    <n v="2609"/>
    <n v="8588.9"/>
    <n v="60.088710409999997"/>
    <n v="5704.8"/>
    <n v="0.39911289590000004"/>
  </r>
  <r>
    <x v="187"/>
    <x v="1"/>
    <x v="14"/>
    <x v="0"/>
    <x v="1"/>
    <x v="0"/>
    <x v="16"/>
    <n v="14221.3"/>
    <n v="9372.1"/>
    <n v="4858.7"/>
    <n v="7138.3"/>
    <n v="50.194426669999999"/>
    <n v="7083"/>
    <n v="0.49805573330000003"/>
  </r>
  <r>
    <x v="188"/>
    <x v="0"/>
    <x v="10"/>
    <x v="1"/>
    <x v="10"/>
    <x v="0"/>
    <x v="44"/>
    <n v="14166.6"/>
    <n v="7969.4"/>
    <n v="6215.6"/>
    <n v="3646.4"/>
    <n v="25.73941524"/>
    <n v="10520.2"/>
    <n v="0.74260584760000004"/>
  </r>
  <r>
    <x v="189"/>
    <x v="0"/>
    <x v="7"/>
    <x v="7"/>
    <x v="0"/>
    <x v="0"/>
    <x v="1"/>
    <n v="14127.8"/>
    <n v="11142.3"/>
    <n v="2993.2"/>
    <n v="8903.2000000000007"/>
    <n v="63.019012160000003"/>
    <n v="5224.6000000000004"/>
    <n v="0.36980987839999996"/>
  </r>
  <r>
    <x v="190"/>
    <x v="0"/>
    <x v="1"/>
    <x v="0"/>
    <x v="0"/>
    <x v="0"/>
    <x v="13"/>
    <n v="14116.7"/>
    <n v="13659.9"/>
    <n v="462.4"/>
    <n v="5423.2"/>
    <n v="38.416910469999998"/>
    <n v="8693.5"/>
    <n v="0.61583089530000001"/>
  </r>
  <r>
    <x v="191"/>
    <x v="0"/>
    <x v="2"/>
    <x v="0"/>
    <x v="6"/>
    <x v="1"/>
    <x v="25"/>
    <n v="14104.4"/>
    <n v="14087.5"/>
    <n v="23.4"/>
    <n v="3963.9"/>
    <n v="28.103995919999999"/>
    <n v="10140.5"/>
    <n v="0.71896004079999998"/>
  </r>
  <r>
    <x v="192"/>
    <x v="0"/>
    <x v="9"/>
    <x v="0"/>
    <x v="1"/>
    <x v="0"/>
    <x v="17"/>
    <n v="14087.8"/>
    <n v="14091.2"/>
    <n v="0"/>
    <n v="13608.5"/>
    <n v="96.597765440000003"/>
    <n v="479.3"/>
    <n v="3.4022345580000002E-2"/>
  </r>
  <r>
    <x v="193"/>
    <x v="0"/>
    <x v="1"/>
    <x v="1"/>
    <x v="10"/>
    <x v="1"/>
    <x v="45"/>
    <n v="13999.3"/>
    <n v="8094.6"/>
    <n v="5914.6"/>
    <n v="2001.5"/>
    <n v="14.29714343"/>
    <n v="11997.8"/>
    <n v="0.85702856569999997"/>
  </r>
  <r>
    <x v="194"/>
    <x v="0"/>
    <x v="4"/>
    <x v="1"/>
    <x v="1"/>
    <x v="0"/>
    <x v="11"/>
    <n v="13994.1"/>
    <n v="8290.1"/>
    <n v="5703.9"/>
    <n v="3475.3"/>
    <n v="24.834037200000001"/>
    <n v="10518.8"/>
    <n v="0.75165962800000008"/>
  </r>
  <r>
    <x v="195"/>
    <x v="0"/>
    <x v="1"/>
    <x v="1"/>
    <x v="2"/>
    <x v="0"/>
    <x v="2"/>
    <n v="13994"/>
    <n v="944.9"/>
    <n v="13049.1"/>
    <n v="136"/>
    <n v="0.97184507649999996"/>
    <n v="13858"/>
    <n v="0.99028154920000011"/>
  </r>
  <r>
    <x v="196"/>
    <x v="0"/>
    <x v="1"/>
    <x v="0"/>
    <x v="0"/>
    <x v="0"/>
    <x v="11"/>
    <n v="13978.6"/>
    <n v="4090.4"/>
    <n v="9888.1"/>
    <n v="895.7"/>
    <n v="6.4076516960000003"/>
    <n v="13082.9"/>
    <n v="0.93592348299999994"/>
  </r>
  <r>
    <x v="197"/>
    <x v="0"/>
    <x v="1"/>
    <x v="0"/>
    <x v="0"/>
    <x v="0"/>
    <x v="8"/>
    <n v="13891.9"/>
    <n v="9309.2000000000007"/>
    <n v="4586.6000000000004"/>
    <n v="12293.1"/>
    <n v="88.491135119999996"/>
    <n v="1598.8"/>
    <n v="0.11508864880000001"/>
  </r>
  <r>
    <x v="198"/>
    <x v="0"/>
    <x v="1"/>
    <x v="0"/>
    <x v="3"/>
    <x v="0"/>
    <x v="4"/>
    <n v="13890.6"/>
    <n v="13739.5"/>
    <n v="155.6"/>
    <n v="8915.5"/>
    <n v="64.183692570000005"/>
    <n v="4975.1000000000004"/>
    <n v="0.3581630743"/>
  </r>
  <r>
    <x v="199"/>
    <x v="0"/>
    <x v="23"/>
    <x v="1"/>
    <x v="0"/>
    <x v="0"/>
    <x v="14"/>
    <n v="13734.1"/>
    <n v="11278.9"/>
    <n v="2462"/>
    <n v="8953.7000000000007"/>
    <n v="65.193205230000004"/>
    <n v="4780.3999999999996"/>
    <n v="0.34806794770000005"/>
  </r>
  <r>
    <x v="200"/>
    <x v="0"/>
    <x v="1"/>
    <x v="0"/>
    <x v="0"/>
    <x v="0"/>
    <x v="17"/>
    <n v="13692"/>
    <n v="6665"/>
    <n v="7030"/>
    <n v="4971.3"/>
    <n v="36.308063099999998"/>
    <n v="8720.7000000000007"/>
    <n v="0.63691936900000001"/>
  </r>
  <r>
    <x v="201"/>
    <x v="0"/>
    <x v="1"/>
    <x v="0"/>
    <x v="5"/>
    <x v="1"/>
    <x v="46"/>
    <n v="13683"/>
    <n v="13689.3"/>
    <n v="0"/>
    <n v="13682.2"/>
    <n v="99.994153330000003"/>
    <n v="0.8"/>
    <n v="5.8466710519999999E-5"/>
  </r>
  <r>
    <x v="202"/>
    <x v="1"/>
    <x v="1"/>
    <x v="0"/>
    <x v="1"/>
    <x v="0"/>
    <x v="12"/>
    <n v="13650.2"/>
    <n v="12396.8"/>
    <n v="1258.3"/>
    <n v="10348.700000000001"/>
    <n v="75.813541189999995"/>
    <n v="3301.5"/>
    <n v="0.2418645881"/>
  </r>
  <r>
    <x v="203"/>
    <x v="0"/>
    <x v="1"/>
    <x v="0"/>
    <x v="17"/>
    <x v="0"/>
    <x v="17"/>
    <n v="13543.1"/>
    <n v="12815.1"/>
    <n v="728"/>
    <n v="10726.1"/>
    <n v="79.199740090000006"/>
    <n v="2817"/>
    <n v="0.20800259910000002"/>
  </r>
  <r>
    <x v="204"/>
    <x v="1"/>
    <x v="1"/>
    <x v="0"/>
    <x v="0"/>
    <x v="0"/>
    <x v="19"/>
    <n v="13532"/>
    <n v="7853.3"/>
    <n v="5683.7"/>
    <n v="4660.7"/>
    <n v="34.442063259999998"/>
    <n v="8871.2999999999993"/>
    <n v="0.6555793674"/>
  </r>
  <r>
    <x v="205"/>
    <x v="0"/>
    <x v="10"/>
    <x v="1"/>
    <x v="10"/>
    <x v="0"/>
    <x v="19"/>
    <n v="13503.4"/>
    <n v="9602.2999999999993"/>
    <n v="3932.5"/>
    <n v="8044.7"/>
    <n v="59.575366199999998"/>
    <n v="5458.7"/>
    <n v="0.40424633800000004"/>
  </r>
  <r>
    <x v="206"/>
    <x v="0"/>
    <x v="1"/>
    <x v="0"/>
    <x v="3"/>
    <x v="0"/>
    <x v="1"/>
    <n v="13490.4"/>
    <n v="9955.4"/>
    <n v="3540.8"/>
    <n v="8582.9"/>
    <n v="63.622279550000002"/>
    <n v="4907.5"/>
    <n v="0.36377720450000001"/>
  </r>
  <r>
    <x v="207"/>
    <x v="0"/>
    <x v="18"/>
    <x v="0"/>
    <x v="7"/>
    <x v="0"/>
    <x v="9"/>
    <n v="13468.7"/>
    <n v="12222.3"/>
    <n v="1249.7"/>
    <n v="1202.8"/>
    <n v="8.9303347760000005"/>
    <n v="12265.9"/>
    <n v="0.91069665220000007"/>
  </r>
  <r>
    <x v="208"/>
    <x v="0"/>
    <x v="10"/>
    <x v="1"/>
    <x v="10"/>
    <x v="1"/>
    <x v="20"/>
    <n v="13433.6"/>
    <n v="12366.7"/>
    <n v="1072.9000000000001"/>
    <n v="11154.7"/>
    <n v="83.035820630000003"/>
    <n v="2278.9"/>
    <n v="0.16964179369999999"/>
  </r>
  <r>
    <x v="209"/>
    <x v="0"/>
    <x v="2"/>
    <x v="0"/>
    <x v="5"/>
    <x v="1"/>
    <x v="40"/>
    <n v="13404.2"/>
    <n v="11623.7"/>
    <n v="1790.5"/>
    <n v="13400.7"/>
    <n v="99.973888779999996"/>
    <n v="3.5"/>
    <n v="2.6111218869999999E-4"/>
  </r>
  <r>
    <x v="210"/>
    <x v="0"/>
    <x v="1"/>
    <x v="0"/>
    <x v="0"/>
    <x v="0"/>
    <x v="0"/>
    <n v="13398.3"/>
    <n v="13409.8"/>
    <n v="0"/>
    <n v="4665.5"/>
    <n v="34.82158184"/>
    <n v="8732.7999999999993"/>
    <n v="0.65178418160000007"/>
  </r>
  <r>
    <x v="211"/>
    <x v="0"/>
    <x v="1"/>
    <x v="1"/>
    <x v="2"/>
    <x v="1"/>
    <x v="43"/>
    <n v="13323.2"/>
    <n v="8971.1"/>
    <n v="4360.5"/>
    <n v="5734.4"/>
    <n v="43.040710939999997"/>
    <n v="7588.8"/>
    <n v="0.56959289060000007"/>
  </r>
  <r>
    <x v="212"/>
    <x v="0"/>
    <x v="1"/>
    <x v="0"/>
    <x v="0"/>
    <x v="0"/>
    <x v="33"/>
    <n v="13320.3"/>
    <n v="8568.7000000000007"/>
    <n v="4756.2"/>
    <n v="464.4"/>
    <n v="3.4864079640000001"/>
    <n v="12855.9"/>
    <n v="0.96513592040000007"/>
  </r>
  <r>
    <x v="213"/>
    <x v="0"/>
    <x v="1"/>
    <x v="1"/>
    <x v="2"/>
    <x v="0"/>
    <x v="17"/>
    <n v="13291"/>
    <n v="10113.700000000001"/>
    <n v="3183.3"/>
    <n v="4068.1"/>
    <n v="30.60793018"/>
    <n v="9222.9"/>
    <n v="0.69392069820000002"/>
  </r>
  <r>
    <x v="214"/>
    <x v="2"/>
    <x v="1"/>
    <x v="0"/>
    <x v="6"/>
    <x v="1"/>
    <x v="16"/>
    <n v="13287"/>
    <n v="13294.9"/>
    <n v="0"/>
    <n v="13287"/>
    <n v="100"/>
    <n v="0"/>
    <n v="0"/>
  </r>
  <r>
    <x v="215"/>
    <x v="0"/>
    <x v="1"/>
    <x v="0"/>
    <x v="0"/>
    <x v="0"/>
    <x v="16"/>
    <n v="13281.8"/>
    <n v="12309.2"/>
    <n v="978.1"/>
    <n v="11171.3"/>
    <n v="84.109834509999999"/>
    <n v="2110.5"/>
    <n v="0.15890165489999999"/>
  </r>
  <r>
    <x v="216"/>
    <x v="0"/>
    <x v="1"/>
    <x v="1"/>
    <x v="2"/>
    <x v="0"/>
    <x v="21"/>
    <n v="13273.4"/>
    <n v="4702.2"/>
    <n v="8580.5"/>
    <n v="575.4"/>
    <n v="4.3349857610000004"/>
    <n v="12698"/>
    <n v="0.95665014240000001"/>
  </r>
  <r>
    <x v="217"/>
    <x v="2"/>
    <x v="1"/>
    <x v="0"/>
    <x v="7"/>
    <x v="1"/>
    <x v="2"/>
    <n v="13220.4"/>
    <n v="11619.7"/>
    <n v="1604"/>
    <n v="45.4"/>
    <n v="0.34340867139999998"/>
    <n v="13175"/>
    <n v="0.99656591329999999"/>
  </r>
  <r>
    <x v="218"/>
    <x v="0"/>
    <x v="1"/>
    <x v="0"/>
    <x v="1"/>
    <x v="0"/>
    <x v="10"/>
    <n v="13208.3"/>
    <n v="12134.4"/>
    <n v="1076.8"/>
    <n v="11821.4"/>
    <n v="89.499784230000003"/>
    <n v="1386.9"/>
    <n v="0.1050021577"/>
  </r>
  <r>
    <x v="219"/>
    <x v="0"/>
    <x v="1"/>
    <x v="0"/>
    <x v="3"/>
    <x v="0"/>
    <x v="8"/>
    <n v="13065.7"/>
    <n v="7612.4"/>
    <n v="5460.1"/>
    <n v="5541.7"/>
    <n v="42.414107170000001"/>
    <n v="7524"/>
    <n v="0.57585892829999996"/>
  </r>
  <r>
    <x v="220"/>
    <x v="0"/>
    <x v="1"/>
    <x v="0"/>
    <x v="0"/>
    <x v="0"/>
    <x v="26"/>
    <n v="13039.8"/>
    <n v="12982.3"/>
    <n v="59.7"/>
    <n v="7413.1"/>
    <n v="56.849798309999997"/>
    <n v="5626.7"/>
    <n v="0.43150201690000001"/>
  </r>
  <r>
    <x v="221"/>
    <x v="0"/>
    <x v="1"/>
    <x v="0"/>
    <x v="18"/>
    <x v="1"/>
    <x v="43"/>
    <n v="13009.4"/>
    <n v="13017.1"/>
    <n v="0"/>
    <n v="12963.5"/>
    <n v="99.647178190000005"/>
    <n v="45.9"/>
    <n v="3.5282180579999998E-3"/>
  </r>
  <r>
    <x v="222"/>
    <x v="0"/>
    <x v="1"/>
    <x v="0"/>
    <x v="0"/>
    <x v="0"/>
    <x v="2"/>
    <n v="12994.4"/>
    <n v="12999.7"/>
    <n v="0"/>
    <n v="5593.4"/>
    <n v="43.044696180000003"/>
    <n v="7401"/>
    <n v="0.56955303820000003"/>
  </r>
  <r>
    <x v="223"/>
    <x v="2"/>
    <x v="14"/>
    <x v="0"/>
    <x v="1"/>
    <x v="1"/>
    <x v="47"/>
    <n v="12992.2"/>
    <n v="10479.5"/>
    <n v="2516.3000000000002"/>
    <n v="12992.2"/>
    <n v="100"/>
    <n v="0"/>
    <n v="0"/>
  </r>
  <r>
    <x v="224"/>
    <x v="1"/>
    <x v="1"/>
    <x v="1"/>
    <x v="9"/>
    <x v="0"/>
    <x v="1"/>
    <n v="12985.2"/>
    <n v="8772.2000000000007"/>
    <n v="4216.8"/>
    <n v="2160.8000000000002"/>
    <n v="16.640483010000001"/>
    <n v="10824.4"/>
    <n v="0.83359516990000004"/>
  </r>
  <r>
    <x v="225"/>
    <x v="0"/>
    <x v="1"/>
    <x v="1"/>
    <x v="2"/>
    <x v="0"/>
    <x v="20"/>
    <n v="12929.7"/>
    <n v="5938.5"/>
    <n v="6997.8"/>
    <n v="1490.1"/>
    <n v="11.524629340000001"/>
    <n v="11439.6"/>
    <n v="0.88475370659999997"/>
  </r>
  <r>
    <x v="226"/>
    <x v="0"/>
    <x v="23"/>
    <x v="1"/>
    <x v="9"/>
    <x v="0"/>
    <x v="29"/>
    <n v="12857.9"/>
    <n v="11010.3"/>
    <n v="1853"/>
    <n v="3301"/>
    <n v="25.672932589999998"/>
    <n v="9556.9"/>
    <n v="0.74327067410000003"/>
  </r>
  <r>
    <x v="227"/>
    <x v="0"/>
    <x v="1"/>
    <x v="0"/>
    <x v="0"/>
    <x v="0"/>
    <x v="7"/>
    <n v="12823.8"/>
    <n v="5535"/>
    <n v="7288.8"/>
    <n v="2109.1999999999998"/>
    <n v="16.447542850000001"/>
    <n v="10714.6"/>
    <n v="0.83552457149999992"/>
  </r>
  <r>
    <x v="228"/>
    <x v="0"/>
    <x v="10"/>
    <x v="1"/>
    <x v="10"/>
    <x v="0"/>
    <x v="26"/>
    <n v="12810.9"/>
    <n v="6582.9"/>
    <n v="6236.2"/>
    <n v="1707.5"/>
    <n v="13.328493699999999"/>
    <n v="11103.4"/>
    <n v="0.86671506300000001"/>
  </r>
  <r>
    <x v="229"/>
    <x v="0"/>
    <x v="1"/>
    <x v="1"/>
    <x v="2"/>
    <x v="1"/>
    <x v="21"/>
    <n v="12799.8"/>
    <n v="5018.3999999999996"/>
    <n v="7786.4"/>
    <n v="1713.9"/>
    <n v="13.390052969999999"/>
    <n v="11085.9"/>
    <n v="0.86609947030000001"/>
  </r>
  <r>
    <x v="230"/>
    <x v="0"/>
    <x v="11"/>
    <x v="0"/>
    <x v="5"/>
    <x v="1"/>
    <x v="4"/>
    <n v="12788.3"/>
    <n v="12025.6"/>
    <n v="766.3"/>
    <n v="11526.4"/>
    <n v="90.132386629999999"/>
    <n v="1261.9000000000001"/>
    <n v="9.8676133649999997E-2"/>
  </r>
  <r>
    <x v="231"/>
    <x v="0"/>
    <x v="1"/>
    <x v="0"/>
    <x v="0"/>
    <x v="0"/>
    <x v="7"/>
    <n v="12751"/>
    <n v="8481.6"/>
    <n v="4272.5"/>
    <n v="5659.8"/>
    <n v="44.387106889999998"/>
    <n v="7091.2"/>
    <n v="0.55612893110000006"/>
  </r>
  <r>
    <x v="232"/>
    <x v="1"/>
    <x v="5"/>
    <x v="2"/>
    <x v="4"/>
    <x v="1"/>
    <x v="7"/>
    <n v="12716.2"/>
    <n v="2648.7"/>
    <n v="10073.4"/>
    <n v="12242.6"/>
    <n v="96.275616929999998"/>
    <n v="473.6"/>
    <n v="3.7243830700000001E-2"/>
  </r>
  <r>
    <x v="233"/>
    <x v="0"/>
    <x v="1"/>
    <x v="1"/>
    <x v="2"/>
    <x v="0"/>
    <x v="3"/>
    <n v="12713.2"/>
    <n v="12596.1"/>
    <n v="124.8"/>
    <n v="1284.7"/>
    <n v="10.10524494"/>
    <n v="11428.5"/>
    <n v="0.89894755059999998"/>
  </r>
  <r>
    <x v="234"/>
    <x v="1"/>
    <x v="1"/>
    <x v="0"/>
    <x v="1"/>
    <x v="0"/>
    <x v="16"/>
    <n v="12700.7"/>
    <n v="8281.2000000000007"/>
    <n v="4423.1000000000004"/>
    <n v="7763.9"/>
    <n v="61.129701509999997"/>
    <n v="4936.8"/>
    <n v="0.38870298490000005"/>
  </r>
  <r>
    <x v="235"/>
    <x v="0"/>
    <x v="2"/>
    <x v="0"/>
    <x v="1"/>
    <x v="0"/>
    <x v="8"/>
    <n v="12650.8"/>
    <n v="11398.2"/>
    <n v="1255.5"/>
    <n v="5777.3"/>
    <n v="45.667467670000001"/>
    <n v="6873.5"/>
    <n v="0.54332532329999994"/>
  </r>
  <r>
    <x v="236"/>
    <x v="0"/>
    <x v="0"/>
    <x v="0"/>
    <x v="1"/>
    <x v="0"/>
    <x v="25"/>
    <n v="12647.5"/>
    <n v="11934"/>
    <n v="715.4"/>
    <n v="10362.700000000001"/>
    <n v="81.934769720000006"/>
    <n v="2284.8000000000002"/>
    <n v="0.18065230280000003"/>
  </r>
  <r>
    <x v="237"/>
    <x v="0"/>
    <x v="1"/>
    <x v="0"/>
    <x v="0"/>
    <x v="0"/>
    <x v="21"/>
    <n v="12593.2"/>
    <n v="6266"/>
    <n v="6330.7"/>
    <n v="351.5"/>
    <n v="2.791188896"/>
    <n v="12241.7"/>
    <n v="0.97208811100000003"/>
  </r>
  <r>
    <x v="238"/>
    <x v="1"/>
    <x v="2"/>
    <x v="0"/>
    <x v="1"/>
    <x v="0"/>
    <x v="1"/>
    <n v="12593"/>
    <n v="12542.7"/>
    <n v="29.5"/>
    <n v="3706.6"/>
    <n v="29.433812440000001"/>
    <n v="8886.4"/>
    <n v="0.70566187560000004"/>
  </r>
  <r>
    <x v="239"/>
    <x v="0"/>
    <x v="2"/>
    <x v="0"/>
    <x v="5"/>
    <x v="1"/>
    <x v="30"/>
    <n v="12566.2"/>
    <n v="4905.7"/>
    <n v="7658.9"/>
    <n v="12335.7"/>
    <n v="98.165714379999997"/>
    <n v="230.5"/>
    <n v="1.8342856229999999E-2"/>
  </r>
  <r>
    <x v="240"/>
    <x v="0"/>
    <x v="1"/>
    <x v="0"/>
    <x v="1"/>
    <x v="0"/>
    <x v="48"/>
    <n v="12421.7"/>
    <n v="11999.7"/>
    <n v="421.9"/>
    <n v="9162.6"/>
    <n v="73.762850499999999"/>
    <n v="3259.1"/>
    <n v="0.26237149500000001"/>
  </r>
  <r>
    <x v="241"/>
    <x v="0"/>
    <x v="12"/>
    <x v="4"/>
    <x v="7"/>
    <x v="0"/>
    <x v="14"/>
    <n v="12403.3"/>
    <n v="7261.2"/>
    <n v="5145.8"/>
    <n v="376.4"/>
    <n v="3.034676256"/>
    <n v="12026.9"/>
    <n v="0.96965323739999998"/>
  </r>
  <r>
    <x v="242"/>
    <x v="0"/>
    <x v="1"/>
    <x v="1"/>
    <x v="2"/>
    <x v="0"/>
    <x v="7"/>
    <n v="12394.6"/>
    <n v="4419.3999999999996"/>
    <n v="7981.5"/>
    <n v="1528.1"/>
    <n v="12.328756070000001"/>
    <n v="10866.5"/>
    <n v="0.87671243929999998"/>
  </r>
  <r>
    <x v="243"/>
    <x v="0"/>
    <x v="17"/>
    <x v="5"/>
    <x v="15"/>
    <x v="0"/>
    <x v="2"/>
    <n v="12324.9"/>
    <n v="10393.6"/>
    <n v="1924.7"/>
    <n v="8841.9"/>
    <n v="71.740135820000006"/>
    <n v="3483"/>
    <n v="0.28259864179999999"/>
  </r>
  <r>
    <x v="244"/>
    <x v="0"/>
    <x v="1"/>
    <x v="1"/>
    <x v="0"/>
    <x v="0"/>
    <x v="17"/>
    <n v="12209.5"/>
    <n v="8937.9"/>
    <n v="3281.7"/>
    <n v="3226.5"/>
    <n v="26.426143580000002"/>
    <n v="8983"/>
    <n v="0.73573856419999994"/>
  </r>
  <r>
    <x v="245"/>
    <x v="0"/>
    <x v="10"/>
    <x v="1"/>
    <x v="10"/>
    <x v="1"/>
    <x v="14"/>
    <n v="12151.3"/>
    <n v="8589.7999999999993"/>
    <n v="3569.6"/>
    <n v="2705.2"/>
    <n v="22.26263857"/>
    <n v="9446.1"/>
    <n v="0.77737361430000007"/>
  </r>
  <r>
    <x v="246"/>
    <x v="0"/>
    <x v="8"/>
    <x v="3"/>
    <x v="8"/>
    <x v="0"/>
    <x v="16"/>
    <n v="12136.7"/>
    <n v="8.4"/>
    <n v="12135.9"/>
    <n v="0"/>
    <n v="0"/>
    <n v="12136.7"/>
    <n v="1"/>
  </r>
  <r>
    <x v="247"/>
    <x v="1"/>
    <x v="1"/>
    <x v="0"/>
    <x v="3"/>
    <x v="0"/>
    <x v="25"/>
    <n v="12099.6"/>
    <n v="8350.5"/>
    <n v="3754.7"/>
    <n v="7341.3"/>
    <n v="60.673906580000001"/>
    <n v="4758.3"/>
    <n v="0.39326093419999997"/>
  </r>
  <r>
    <x v="248"/>
    <x v="1"/>
    <x v="1"/>
    <x v="0"/>
    <x v="1"/>
    <x v="0"/>
    <x v="2"/>
    <n v="12094.7"/>
    <n v="7821.4"/>
    <n v="4279.1000000000004"/>
    <n v="7189.4"/>
    <n v="59.44256575"/>
    <n v="4905.3"/>
    <n v="0.40557434250000002"/>
  </r>
  <r>
    <x v="249"/>
    <x v="0"/>
    <x v="1"/>
    <x v="0"/>
    <x v="1"/>
    <x v="0"/>
    <x v="7"/>
    <n v="11966.9"/>
    <n v="10802.2"/>
    <n v="1167.0999999999999"/>
    <n v="7423"/>
    <n v="62.029431180000003"/>
    <n v="4543.8999999999996"/>
    <n v="0.37970568819999995"/>
  </r>
  <r>
    <x v="250"/>
    <x v="1"/>
    <x v="1"/>
    <x v="0"/>
    <x v="1"/>
    <x v="0"/>
    <x v="38"/>
    <n v="11879.6"/>
    <n v="10122.700000000001"/>
    <n v="1768.2"/>
    <n v="8527.5"/>
    <n v="71.782719959999994"/>
    <n v="3352.1"/>
    <n v="0.28217280039999998"/>
  </r>
  <r>
    <x v="251"/>
    <x v="0"/>
    <x v="10"/>
    <x v="1"/>
    <x v="9"/>
    <x v="1"/>
    <x v="6"/>
    <n v="11853.7"/>
    <n v="9900.6"/>
    <n v="1953.1"/>
    <n v="5248.7"/>
    <n v="44.279001489999999"/>
    <n v="6605"/>
    <n v="0.55720998509999997"/>
  </r>
  <r>
    <x v="252"/>
    <x v="0"/>
    <x v="1"/>
    <x v="0"/>
    <x v="3"/>
    <x v="0"/>
    <x v="3"/>
    <n v="11821.6"/>
    <n v="7454.6"/>
    <n v="4369.1000000000004"/>
    <n v="5783.2"/>
    <n v="48.920619879999997"/>
    <n v="6038.4"/>
    <n v="0.51079380120000006"/>
  </r>
  <r>
    <x v="253"/>
    <x v="1"/>
    <x v="1"/>
    <x v="0"/>
    <x v="1"/>
    <x v="0"/>
    <x v="2"/>
    <n v="11817.1"/>
    <n v="9731.6"/>
    <n v="2088"/>
    <n v="7684.3"/>
    <n v="65.026952469999998"/>
    <n v="4132.8"/>
    <n v="0.34973047530000001"/>
  </r>
  <r>
    <x v="254"/>
    <x v="0"/>
    <x v="1"/>
    <x v="0"/>
    <x v="0"/>
    <x v="0"/>
    <x v="17"/>
    <n v="11783.3"/>
    <n v="10687.5"/>
    <n v="1099.4000000000001"/>
    <n v="8809.7999999999993"/>
    <n v="74.765133710000001"/>
    <n v="2973.5"/>
    <n v="0.25234866290000002"/>
  </r>
  <r>
    <x v="255"/>
    <x v="1"/>
    <x v="25"/>
    <x v="0"/>
    <x v="1"/>
    <x v="0"/>
    <x v="9"/>
    <n v="11721"/>
    <n v="11036"/>
    <n v="689"/>
    <n v="10605.6"/>
    <n v="90.483747120000004"/>
    <n v="1115.4000000000001"/>
    <n v="9.5162528789999992E-2"/>
  </r>
  <r>
    <x v="256"/>
    <x v="0"/>
    <x v="17"/>
    <x v="5"/>
    <x v="0"/>
    <x v="0"/>
    <x v="27"/>
    <n v="11715.1"/>
    <n v="1404.1"/>
    <n v="10305.200000000001"/>
    <n v="7.7"/>
    <n v="6.5727138480000002E-2"/>
    <n v="11707.4"/>
    <n v="0.99934272859999995"/>
  </r>
  <r>
    <x v="257"/>
    <x v="0"/>
    <x v="1"/>
    <x v="0"/>
    <x v="11"/>
    <x v="0"/>
    <x v="7"/>
    <n v="11678.7"/>
    <n v="9802.2000000000007"/>
    <n v="1883.1"/>
    <n v="9721.7999999999993"/>
    <n v="83.243854200000001"/>
    <n v="1956.9"/>
    <n v="0.167561458"/>
  </r>
  <r>
    <x v="258"/>
    <x v="0"/>
    <x v="26"/>
    <x v="0"/>
    <x v="0"/>
    <x v="0"/>
    <x v="18"/>
    <n v="11640.6"/>
    <n v="6067.8"/>
    <n v="5576.2"/>
    <n v="325.2"/>
    <n v="2.7936704290000001"/>
    <n v="11315.4"/>
    <n v="0.97206329569999994"/>
  </r>
  <r>
    <x v="259"/>
    <x v="1"/>
    <x v="1"/>
    <x v="0"/>
    <x v="1"/>
    <x v="0"/>
    <x v="14"/>
    <n v="11632.9"/>
    <n v="11637.4"/>
    <n v="0"/>
    <n v="11489.7"/>
    <n v="98.769008589999999"/>
    <n v="143.19999999999999"/>
    <n v="1.2309914120000001E-2"/>
  </r>
  <r>
    <x v="260"/>
    <x v="0"/>
    <x v="1"/>
    <x v="0"/>
    <x v="5"/>
    <x v="0"/>
    <x v="49"/>
    <n v="11588.8"/>
    <n v="11545"/>
    <n v="47.3"/>
    <n v="10653.5"/>
    <n v="91.929276540000004"/>
    <n v="935.3"/>
    <n v="8.0707234569999994E-2"/>
  </r>
  <r>
    <x v="261"/>
    <x v="0"/>
    <x v="1"/>
    <x v="0"/>
    <x v="0"/>
    <x v="0"/>
    <x v="0"/>
    <n v="11575.2"/>
    <n v="3209.4"/>
    <n v="8365.7999999999993"/>
    <n v="747.3"/>
    <n v="6.4560439560000003"/>
    <n v="10827.9"/>
    <n v="0.93543956039999998"/>
  </r>
  <r>
    <x v="262"/>
    <x v="0"/>
    <x v="27"/>
    <x v="1"/>
    <x v="2"/>
    <x v="0"/>
    <x v="27"/>
    <n v="11566.2"/>
    <n v="7224.2"/>
    <n v="4349.3999999999996"/>
    <n v="4663"/>
    <n v="40.315747610000003"/>
    <n v="6903.2"/>
    <n v="0.59684252389999992"/>
  </r>
  <r>
    <x v="263"/>
    <x v="0"/>
    <x v="28"/>
    <x v="0"/>
    <x v="7"/>
    <x v="0"/>
    <x v="8"/>
    <n v="11481.4"/>
    <n v="11486.5"/>
    <n v="0"/>
    <n v="235.7"/>
    <n v="2.0528855369999999"/>
    <n v="11245.7"/>
    <n v="0.97947114459999995"/>
  </r>
  <r>
    <x v="264"/>
    <x v="2"/>
    <x v="1"/>
    <x v="0"/>
    <x v="5"/>
    <x v="1"/>
    <x v="6"/>
    <n v="11480.4"/>
    <n v="8241.1"/>
    <n v="3243.6"/>
    <n v="11420.3"/>
    <n v="99.476499079999996"/>
    <n v="60.1"/>
    <n v="5.235009233E-3"/>
  </r>
  <r>
    <x v="265"/>
    <x v="0"/>
    <x v="1"/>
    <x v="0"/>
    <x v="0"/>
    <x v="0"/>
    <x v="9"/>
    <n v="11475.1"/>
    <n v="3956.3"/>
    <n v="7518.7"/>
    <n v="545.70000000000005"/>
    <n v="4.7555141130000003"/>
    <n v="10929.4"/>
    <n v="0.95244485890000008"/>
  </r>
  <r>
    <x v="266"/>
    <x v="0"/>
    <x v="7"/>
    <x v="7"/>
    <x v="0"/>
    <x v="0"/>
    <x v="17"/>
    <n v="11459.5"/>
    <n v="7069.7"/>
    <n v="4399.6000000000004"/>
    <n v="5201.3999999999996"/>
    <n v="45.389414899999998"/>
    <n v="6258.1"/>
    <n v="0.54610585099999998"/>
  </r>
  <r>
    <x v="267"/>
    <x v="0"/>
    <x v="1"/>
    <x v="0"/>
    <x v="3"/>
    <x v="0"/>
    <x v="0"/>
    <n v="11428.5"/>
    <n v="7562.2"/>
    <n v="3868"/>
    <n v="6108.9"/>
    <n v="53.453209080000001"/>
    <n v="5319.6"/>
    <n v="0.46546790919999997"/>
  </r>
  <r>
    <x v="268"/>
    <x v="0"/>
    <x v="1"/>
    <x v="0"/>
    <x v="5"/>
    <x v="1"/>
    <x v="50"/>
    <n v="11314.2"/>
    <n v="11274.4"/>
    <n v="44.7"/>
    <n v="11264.9"/>
    <n v="99.564264379999997"/>
    <n v="49.3"/>
    <n v="4.3573562430000001E-3"/>
  </r>
  <r>
    <x v="269"/>
    <x v="0"/>
    <x v="1"/>
    <x v="0"/>
    <x v="3"/>
    <x v="0"/>
    <x v="6"/>
    <n v="11238.2"/>
    <n v="4609.5"/>
    <n v="6628.7"/>
    <n v="839.9"/>
    <n v="7.4736167709999997"/>
    <n v="10398.299999999999"/>
    <n v="0.92526383229999998"/>
  </r>
  <r>
    <x v="270"/>
    <x v="0"/>
    <x v="5"/>
    <x v="2"/>
    <x v="4"/>
    <x v="0"/>
    <x v="1"/>
    <n v="11232.6"/>
    <n v="9653.7999999999993"/>
    <n v="1583.7"/>
    <n v="4076.4"/>
    <n v="36.29079643"/>
    <n v="7156.2"/>
    <n v="0.63709203569999995"/>
  </r>
  <r>
    <x v="271"/>
    <x v="0"/>
    <x v="1"/>
    <x v="0"/>
    <x v="7"/>
    <x v="0"/>
    <x v="8"/>
    <n v="11198.8"/>
    <n v="5328.3"/>
    <n v="5873.2"/>
    <n v="961.9"/>
    <n v="8.5893131409999999"/>
    <n v="10236.9"/>
    <n v="0.91410686860000001"/>
  </r>
  <r>
    <x v="272"/>
    <x v="0"/>
    <x v="1"/>
    <x v="0"/>
    <x v="0"/>
    <x v="0"/>
    <x v="0"/>
    <n v="11196"/>
    <n v="10287.700000000001"/>
    <n v="910.9"/>
    <n v="656.6"/>
    <n v="5.8645944979999998"/>
    <n v="10539.4"/>
    <n v="0.94135405500000002"/>
  </r>
  <r>
    <x v="273"/>
    <x v="0"/>
    <x v="29"/>
    <x v="0"/>
    <x v="19"/>
    <x v="0"/>
    <x v="4"/>
    <n v="11149"/>
    <n v="3260"/>
    <n v="7882.2"/>
    <n v="1292"/>
    <n v="11.588483269999999"/>
    <n v="9857"/>
    <n v="0.88411516730000006"/>
  </r>
  <r>
    <x v="274"/>
    <x v="0"/>
    <x v="2"/>
    <x v="0"/>
    <x v="5"/>
    <x v="1"/>
    <x v="37"/>
    <n v="11063.6"/>
    <n v="11073.6"/>
    <n v="0"/>
    <n v="11061.4"/>
    <n v="99.980114970000002"/>
    <n v="2.2000000000000002"/>
    <n v="1.988502838E-4"/>
  </r>
  <r>
    <x v="275"/>
    <x v="1"/>
    <x v="1"/>
    <x v="0"/>
    <x v="1"/>
    <x v="0"/>
    <x v="10"/>
    <n v="11060.5"/>
    <n v="6055.9"/>
    <n v="5004.6000000000004"/>
    <n v="4661.1000000000004"/>
    <n v="42.141856150000002"/>
    <n v="6399.4"/>
    <n v="0.57858143849999999"/>
  </r>
  <r>
    <x v="276"/>
    <x v="0"/>
    <x v="1"/>
    <x v="0"/>
    <x v="18"/>
    <x v="1"/>
    <x v="10"/>
    <n v="11051.4"/>
    <n v="11056.2"/>
    <n v="0"/>
    <n v="11051.4"/>
    <n v="100"/>
    <n v="0"/>
    <n v="0"/>
  </r>
  <r>
    <x v="277"/>
    <x v="0"/>
    <x v="8"/>
    <x v="3"/>
    <x v="8"/>
    <x v="0"/>
    <x v="3"/>
    <n v="11014.9"/>
    <n v="5793.9"/>
    <n v="5236.3"/>
    <n v="0"/>
    <n v="0"/>
    <n v="11014.9"/>
    <n v="1"/>
  </r>
  <r>
    <x v="278"/>
    <x v="1"/>
    <x v="2"/>
    <x v="0"/>
    <x v="1"/>
    <x v="1"/>
    <x v="4"/>
    <n v="10985.7"/>
    <n v="0"/>
    <n v="11024.9"/>
    <n v="6916.9"/>
    <n v="62.962760680000002"/>
    <n v="4068.8"/>
    <n v="0.37037239319999998"/>
  </r>
  <r>
    <x v="279"/>
    <x v="0"/>
    <x v="4"/>
    <x v="1"/>
    <x v="2"/>
    <x v="0"/>
    <x v="27"/>
    <n v="10974"/>
    <n v="9511.5"/>
    <n v="1474.2"/>
    <n v="3645.8"/>
    <n v="33.222161470000003"/>
    <n v="7328.2"/>
    <n v="0.6677783853"/>
  </r>
  <r>
    <x v="280"/>
    <x v="0"/>
    <x v="1"/>
    <x v="0"/>
    <x v="0"/>
    <x v="0"/>
    <x v="34"/>
    <n v="10968.8"/>
    <n v="5006.3999999999996"/>
    <n v="5977.1"/>
    <n v="7034.7"/>
    <n v="64.133724749999999"/>
    <n v="3934.1"/>
    <n v="0.35866275250000001"/>
  </r>
  <r>
    <x v="281"/>
    <x v="1"/>
    <x v="24"/>
    <x v="0"/>
    <x v="6"/>
    <x v="0"/>
    <x v="9"/>
    <n v="10939.4"/>
    <n v="9358.7999999999993"/>
    <n v="1614.9"/>
    <n v="10795.1"/>
    <n v="98.680914860000001"/>
    <n v="144.30000000000001"/>
    <n v="1.319085142E-2"/>
  </r>
  <r>
    <x v="282"/>
    <x v="0"/>
    <x v="1"/>
    <x v="1"/>
    <x v="2"/>
    <x v="0"/>
    <x v="0"/>
    <n v="10933.4"/>
    <n v="10905.7"/>
    <n v="38"/>
    <n v="8.1"/>
    <n v="7.4084914119999998E-2"/>
    <n v="10925.3"/>
    <n v="0.99925915090000006"/>
  </r>
  <r>
    <x v="283"/>
    <x v="0"/>
    <x v="17"/>
    <x v="5"/>
    <x v="15"/>
    <x v="1"/>
    <x v="4"/>
    <n v="10914.2"/>
    <n v="9203.4"/>
    <n v="1721.9"/>
    <n v="8573.2000000000007"/>
    <n v="78.550878670000003"/>
    <n v="2341"/>
    <n v="0.21449121330000001"/>
  </r>
  <r>
    <x v="284"/>
    <x v="0"/>
    <x v="12"/>
    <x v="4"/>
    <x v="18"/>
    <x v="1"/>
    <x v="29"/>
    <n v="10902.6"/>
    <n v="10910.3"/>
    <n v="0"/>
    <n v="10773.4"/>
    <n v="98.814961569999994"/>
    <n v="129.19999999999999"/>
    <n v="1.185038431E-2"/>
  </r>
  <r>
    <x v="285"/>
    <x v="0"/>
    <x v="2"/>
    <x v="0"/>
    <x v="1"/>
    <x v="0"/>
    <x v="8"/>
    <n v="10783.2"/>
    <n v="7412.3"/>
    <n v="3373.2"/>
    <n v="5819.8"/>
    <n v="53.970991910000002"/>
    <n v="4963.3999999999996"/>
    <n v="0.46029008089999995"/>
  </r>
  <r>
    <x v="286"/>
    <x v="0"/>
    <x v="1"/>
    <x v="1"/>
    <x v="2"/>
    <x v="0"/>
    <x v="10"/>
    <n v="10776.2"/>
    <n v="10712.5"/>
    <n v="63.9"/>
    <n v="291.89999999999998"/>
    <n v="2.7087470539999998"/>
    <n v="10484.299999999999"/>
    <n v="0.97291252949999996"/>
  </r>
  <r>
    <x v="287"/>
    <x v="0"/>
    <x v="1"/>
    <x v="1"/>
    <x v="2"/>
    <x v="0"/>
    <x v="8"/>
    <n v="10772"/>
    <n v="595.6"/>
    <n v="10180.6"/>
    <n v="689.2"/>
    <n v="6.3980690679999999"/>
    <n v="10082.799999999999"/>
    <n v="0.93601930929999999"/>
  </r>
  <r>
    <x v="288"/>
    <x v="0"/>
    <x v="1"/>
    <x v="0"/>
    <x v="5"/>
    <x v="1"/>
    <x v="33"/>
    <n v="10771.3"/>
    <n v="10772.2"/>
    <n v="0.6"/>
    <n v="10575.9"/>
    <n v="98.185919990000002"/>
    <n v="195.4"/>
    <n v="1.8140800089999999E-2"/>
  </r>
  <r>
    <x v="289"/>
    <x v="0"/>
    <x v="1"/>
    <x v="0"/>
    <x v="5"/>
    <x v="1"/>
    <x v="3"/>
    <n v="10767.6"/>
    <n v="1893.8"/>
    <n v="8878.2000000000007"/>
    <n v="10569.4"/>
    <n v="98.159292690000001"/>
    <n v="198.2"/>
    <n v="1.8407073069999998E-2"/>
  </r>
  <r>
    <x v="290"/>
    <x v="0"/>
    <x v="1"/>
    <x v="0"/>
    <x v="5"/>
    <x v="1"/>
    <x v="29"/>
    <n v="10760.4"/>
    <n v="10630.4"/>
    <n v="133.80000000000001"/>
    <n v="10584.7"/>
    <n v="98.367161069999995"/>
    <n v="175.7"/>
    <n v="1.6328389280000001E-2"/>
  </r>
  <r>
    <x v="291"/>
    <x v="1"/>
    <x v="1"/>
    <x v="0"/>
    <x v="3"/>
    <x v="0"/>
    <x v="26"/>
    <n v="10756.4"/>
    <n v="7776.1"/>
    <n v="2980.3"/>
    <n v="3834.9"/>
    <n v="35.652262839999999"/>
    <n v="6921.5"/>
    <n v="0.64347737159999996"/>
  </r>
  <r>
    <x v="292"/>
    <x v="1"/>
    <x v="1"/>
    <x v="0"/>
    <x v="3"/>
    <x v="0"/>
    <x v="18"/>
    <n v="10731.7"/>
    <n v="6224.9"/>
    <n v="4506.8"/>
    <n v="3239.2"/>
    <n v="30.183475130000001"/>
    <n v="7492.5"/>
    <n v="0.69816524869999996"/>
  </r>
  <r>
    <x v="293"/>
    <x v="1"/>
    <x v="1"/>
    <x v="0"/>
    <x v="3"/>
    <x v="0"/>
    <x v="14"/>
    <n v="10712.8"/>
    <n v="6060.2"/>
    <n v="4663.3999999999996"/>
    <n v="4257.3999999999996"/>
    <n v="39.741244119999998"/>
    <n v="6455.4"/>
    <n v="0.60258755880000003"/>
  </r>
  <r>
    <x v="294"/>
    <x v="2"/>
    <x v="2"/>
    <x v="0"/>
    <x v="1"/>
    <x v="1"/>
    <x v="9"/>
    <n v="10711.2"/>
    <n v="10381.4"/>
    <n v="333.5"/>
    <n v="73.400000000000006"/>
    <n v="0.68526402269999998"/>
    <n v="10637.8"/>
    <n v="0.99314735979999991"/>
  </r>
  <r>
    <x v="295"/>
    <x v="0"/>
    <x v="2"/>
    <x v="0"/>
    <x v="5"/>
    <x v="0"/>
    <x v="40"/>
    <n v="10696.6"/>
    <n v="8379.6"/>
    <n v="2317"/>
    <n v="8204.5"/>
    <n v="76.701942669999994"/>
    <n v="2492.1"/>
    <n v="0.23298057329999999"/>
  </r>
  <r>
    <x v="296"/>
    <x v="0"/>
    <x v="21"/>
    <x v="0"/>
    <x v="5"/>
    <x v="1"/>
    <x v="31"/>
    <n v="10616.1"/>
    <n v="10020.5"/>
    <n v="599.29999999999995"/>
    <n v="9771.2999999999993"/>
    <n v="92.042275410000002"/>
    <n v="844.8"/>
    <n v="7.9577245879999994E-2"/>
  </r>
  <r>
    <x v="297"/>
    <x v="0"/>
    <x v="1"/>
    <x v="1"/>
    <x v="14"/>
    <x v="1"/>
    <x v="5"/>
    <n v="10607"/>
    <n v="10520.3"/>
    <n v="92.7"/>
    <n v="8371.2999999999993"/>
    <n v="78.922409729999998"/>
    <n v="2235.6999999999998"/>
    <n v="0.21077590270000002"/>
  </r>
  <r>
    <x v="298"/>
    <x v="0"/>
    <x v="1"/>
    <x v="0"/>
    <x v="5"/>
    <x v="1"/>
    <x v="37"/>
    <n v="10571.1"/>
    <n v="10570.2"/>
    <n v="4.5"/>
    <n v="10555.6"/>
    <n v="99.853373820000002"/>
    <n v="15.5"/>
    <n v="1.4662617889999998E-3"/>
  </r>
  <r>
    <x v="299"/>
    <x v="0"/>
    <x v="2"/>
    <x v="0"/>
    <x v="5"/>
    <x v="1"/>
    <x v="9"/>
    <n v="10489.6"/>
    <n v="10191.700000000001"/>
    <n v="301.5"/>
    <n v="10165.9"/>
    <n v="96.914086330000003"/>
    <n v="323.7"/>
    <n v="3.0859136669999999E-2"/>
  </r>
  <r>
    <x v="300"/>
    <x v="1"/>
    <x v="22"/>
    <x v="1"/>
    <x v="9"/>
    <x v="0"/>
    <x v="27"/>
    <n v="10476.9"/>
    <n v="3977.8"/>
    <n v="6499.1"/>
    <n v="2597.3000000000002"/>
    <n v="24.790730079999999"/>
    <n v="7879.6"/>
    <n v="0.75209269919999999"/>
  </r>
  <r>
    <x v="301"/>
    <x v="0"/>
    <x v="2"/>
    <x v="0"/>
    <x v="0"/>
    <x v="0"/>
    <x v="0"/>
    <n v="10449"/>
    <n v="7062.7"/>
    <n v="3394.7"/>
    <n v="6337.8"/>
    <n v="60.654608099999997"/>
    <n v="4111.2"/>
    <n v="0.39345391900000004"/>
  </r>
  <r>
    <x v="302"/>
    <x v="0"/>
    <x v="1"/>
    <x v="0"/>
    <x v="3"/>
    <x v="0"/>
    <x v="7"/>
    <n v="10368.700000000001"/>
    <n v="9179.2000000000007"/>
    <n v="1201.2"/>
    <n v="8970.6"/>
    <n v="86.516149569999996"/>
    <n v="1398.1"/>
    <n v="0.13483850429999999"/>
  </r>
  <r>
    <x v="303"/>
    <x v="0"/>
    <x v="1"/>
    <x v="1"/>
    <x v="2"/>
    <x v="0"/>
    <x v="3"/>
    <n v="10352.799999999999"/>
    <n v="1937.7"/>
    <n v="8415.1"/>
    <n v="410.2"/>
    <n v="3.962213121"/>
    <n v="9942.6"/>
    <n v="0.96037786879999998"/>
  </r>
  <r>
    <x v="304"/>
    <x v="0"/>
    <x v="30"/>
    <x v="0"/>
    <x v="1"/>
    <x v="0"/>
    <x v="0"/>
    <n v="10332.799999999999"/>
    <n v="7323"/>
    <n v="3009.8"/>
    <n v="6153.5"/>
    <n v="59.55307371"/>
    <n v="4179.3"/>
    <n v="0.40446926290000002"/>
  </r>
  <r>
    <x v="305"/>
    <x v="0"/>
    <x v="1"/>
    <x v="0"/>
    <x v="1"/>
    <x v="0"/>
    <x v="17"/>
    <n v="10313.5"/>
    <n v="10145.1"/>
    <n v="172"/>
    <n v="10141.5"/>
    <n v="98.332282930000005"/>
    <n v="172"/>
    <n v="1.6677170700000001E-2"/>
  </r>
  <r>
    <x v="306"/>
    <x v="0"/>
    <x v="1"/>
    <x v="0"/>
    <x v="0"/>
    <x v="0"/>
    <x v="10"/>
    <n v="10293"/>
    <n v="6016.2"/>
    <n v="4284.3"/>
    <n v="745.9"/>
    <n v="7.2466724960000004"/>
    <n v="9547.1"/>
    <n v="0.92753327499999993"/>
  </r>
  <r>
    <x v="307"/>
    <x v="0"/>
    <x v="29"/>
    <x v="0"/>
    <x v="19"/>
    <x v="0"/>
    <x v="9"/>
    <n v="10290.6"/>
    <n v="2289.1999999999998"/>
    <n v="8003.8"/>
    <n v="4395.8"/>
    <n v="42.716654030000001"/>
    <n v="5894.8"/>
    <n v="0.57283345969999999"/>
  </r>
  <r>
    <x v="308"/>
    <x v="0"/>
    <x v="31"/>
    <x v="1"/>
    <x v="9"/>
    <x v="0"/>
    <x v="2"/>
    <n v="10234.299999999999"/>
    <n v="8102.5"/>
    <n v="2138.3000000000002"/>
    <n v="6955"/>
    <n v="67.957749919999998"/>
    <n v="3279.3"/>
    <n v="0.32042250080000001"/>
  </r>
  <r>
    <x v="309"/>
    <x v="0"/>
    <x v="1"/>
    <x v="0"/>
    <x v="0"/>
    <x v="0"/>
    <x v="20"/>
    <n v="10231.200000000001"/>
    <n v="7551.1"/>
    <n v="2685"/>
    <n v="2118.4"/>
    <n v="20.705293609999998"/>
    <n v="8112.8"/>
    <n v="0.79294706390000003"/>
  </r>
  <r>
    <x v="310"/>
    <x v="0"/>
    <x v="1"/>
    <x v="0"/>
    <x v="5"/>
    <x v="1"/>
    <x v="18"/>
    <n v="10180.200000000001"/>
    <n v="10185.799999999999"/>
    <n v="0"/>
    <n v="10132.799999999999"/>
    <n v="99.534390290000005"/>
    <n v="47.4"/>
    <n v="4.65609713E-3"/>
  </r>
  <r>
    <x v="311"/>
    <x v="1"/>
    <x v="0"/>
    <x v="0"/>
    <x v="1"/>
    <x v="0"/>
    <x v="7"/>
    <n v="10179.299999999999"/>
    <n v="6431.1"/>
    <n v="3750.4"/>
    <n v="5420.2"/>
    <n v="53.247276339999999"/>
    <n v="4759.1000000000004"/>
    <n v="0.46752723660000001"/>
  </r>
  <r>
    <x v="312"/>
    <x v="0"/>
    <x v="8"/>
    <x v="3"/>
    <x v="8"/>
    <x v="1"/>
    <x v="10"/>
    <n v="10165"/>
    <n v="8858.9"/>
    <n v="1312.6"/>
    <n v="6.7"/>
    <n v="6.591244466E-2"/>
    <n v="10158.299999999999"/>
    <n v="0.99934087559999996"/>
  </r>
  <r>
    <x v="313"/>
    <x v="0"/>
    <x v="22"/>
    <x v="1"/>
    <x v="0"/>
    <x v="0"/>
    <x v="17"/>
    <n v="10160.5"/>
    <n v="8082"/>
    <n v="2081.6999999999998"/>
    <n v="6415.1"/>
    <n v="63.137640859999998"/>
    <n v="3745.4"/>
    <n v="0.36862359140000001"/>
  </r>
  <r>
    <x v="314"/>
    <x v="0"/>
    <x v="10"/>
    <x v="1"/>
    <x v="10"/>
    <x v="1"/>
    <x v="15"/>
    <n v="10147.9"/>
    <n v="10065.9"/>
    <n v="89.1"/>
    <n v="9956.7999999999993"/>
    <n v="98.116851760000003"/>
    <n v="191.1"/>
    <n v="1.883148238E-2"/>
  </r>
  <r>
    <x v="315"/>
    <x v="0"/>
    <x v="1"/>
    <x v="0"/>
    <x v="0"/>
    <x v="0"/>
    <x v="7"/>
    <n v="10141.700000000001"/>
    <n v="9084.2000000000007"/>
    <n v="1067.9000000000001"/>
    <n v="7696.5"/>
    <n v="75.889643750000005"/>
    <n v="2445.1999999999998"/>
    <n v="0.24110356249999998"/>
  </r>
  <r>
    <x v="316"/>
    <x v="0"/>
    <x v="17"/>
    <x v="5"/>
    <x v="15"/>
    <x v="1"/>
    <x v="8"/>
    <n v="10122.5"/>
    <n v="8138.6"/>
    <n v="1988.4"/>
    <n v="5614.2"/>
    <n v="55.462583350000003"/>
    <n v="4508.3"/>
    <n v="0.44537416649999995"/>
  </r>
  <r>
    <x v="317"/>
    <x v="0"/>
    <x v="17"/>
    <x v="5"/>
    <x v="7"/>
    <x v="0"/>
    <x v="3"/>
    <n v="10115.700000000001"/>
    <n v="9351.5"/>
    <n v="766.2"/>
    <n v="269.8"/>
    <n v="2.667141177"/>
    <n v="9845.9"/>
    <n v="0.97332858820000001"/>
  </r>
  <r>
    <x v="318"/>
    <x v="0"/>
    <x v="2"/>
    <x v="0"/>
    <x v="5"/>
    <x v="1"/>
    <x v="0"/>
    <n v="10108"/>
    <n v="8333.7000000000007"/>
    <n v="1782"/>
    <n v="8006.1"/>
    <n v="79.205579740000005"/>
    <n v="2101.9"/>
    <n v="0.20794420259999999"/>
  </r>
  <r>
    <x v="319"/>
    <x v="0"/>
    <x v="2"/>
    <x v="0"/>
    <x v="0"/>
    <x v="0"/>
    <x v="14"/>
    <n v="10095.5"/>
    <n v="6587"/>
    <n v="3508.5"/>
    <n v="5050.8999999999996"/>
    <n v="50.031202020000002"/>
    <n v="5044.6000000000004"/>
    <n v="0.49968797979999996"/>
  </r>
  <r>
    <x v="320"/>
    <x v="2"/>
    <x v="1"/>
    <x v="0"/>
    <x v="13"/>
    <x v="1"/>
    <x v="2"/>
    <n v="10048.299999999999"/>
    <n v="3456.4"/>
    <n v="6591.9"/>
    <n v="257"/>
    <n v="2.5576465669999999"/>
    <n v="9791.2999999999993"/>
    <n v="0.97442353429999995"/>
  </r>
  <r>
    <x v="321"/>
    <x v="0"/>
    <x v="0"/>
    <x v="0"/>
    <x v="5"/>
    <x v="0"/>
    <x v="9"/>
    <n v="9970.2000000000007"/>
    <n v="9813.7000000000007"/>
    <n v="161.5"/>
    <n v="9795.7999999999993"/>
    <n v="98.250787349999996"/>
    <n v="174.4"/>
    <n v="1.749212654E-2"/>
  </r>
  <r>
    <x v="322"/>
    <x v="0"/>
    <x v="1"/>
    <x v="0"/>
    <x v="1"/>
    <x v="0"/>
    <x v="24"/>
    <n v="9949.6"/>
    <n v="9956.4"/>
    <n v="0"/>
    <n v="9911.9"/>
    <n v="99.621090300000006"/>
    <n v="37.700000000000003"/>
    <n v="3.7890970489999998E-3"/>
  </r>
  <r>
    <x v="323"/>
    <x v="0"/>
    <x v="1"/>
    <x v="1"/>
    <x v="2"/>
    <x v="0"/>
    <x v="14"/>
    <n v="9948.7000000000007"/>
    <n v="4105.3"/>
    <n v="5843.4"/>
    <n v="471.7"/>
    <n v="4.7413229870000002"/>
    <n v="9477"/>
    <n v="0.95258677010000004"/>
  </r>
  <r>
    <x v="324"/>
    <x v="0"/>
    <x v="0"/>
    <x v="0"/>
    <x v="5"/>
    <x v="1"/>
    <x v="5"/>
    <n v="9933.4"/>
    <n v="9932.9"/>
    <n v="6.1"/>
    <n v="9864.7000000000007"/>
    <n v="99.308393899999999"/>
    <n v="68.7"/>
    <n v="6.9160609660000004E-3"/>
  </r>
  <r>
    <x v="325"/>
    <x v="0"/>
    <x v="1"/>
    <x v="1"/>
    <x v="9"/>
    <x v="0"/>
    <x v="51"/>
    <n v="9914.5"/>
    <n v="6239"/>
    <n v="3689.5"/>
    <n v="5931.4"/>
    <n v="59.82550809"/>
    <n v="3983.1"/>
    <n v="0.40174491909999999"/>
  </r>
  <r>
    <x v="326"/>
    <x v="2"/>
    <x v="10"/>
    <x v="1"/>
    <x v="5"/>
    <x v="1"/>
    <x v="52"/>
    <n v="9914.4"/>
    <n v="9921.1"/>
    <n v="6.1"/>
    <n v="7817.7"/>
    <n v="78.851972889999999"/>
    <n v="2096.6999999999998"/>
    <n v="0.21148027110000001"/>
  </r>
  <r>
    <x v="327"/>
    <x v="0"/>
    <x v="2"/>
    <x v="0"/>
    <x v="5"/>
    <x v="1"/>
    <x v="35"/>
    <n v="9909.5"/>
    <n v="9912.7999999999993"/>
    <n v="0"/>
    <n v="9909.5"/>
    <n v="100"/>
    <n v="0"/>
    <n v="0"/>
  </r>
  <r>
    <x v="328"/>
    <x v="2"/>
    <x v="32"/>
    <x v="8"/>
    <x v="5"/>
    <x v="1"/>
    <x v="17"/>
    <n v="9899.4"/>
    <n v="9883"/>
    <n v="20.100000000000001"/>
    <n v="9351.9"/>
    <n v="94.46936178"/>
    <n v="547.5"/>
    <n v="5.5306382200000004E-2"/>
  </r>
  <r>
    <x v="329"/>
    <x v="0"/>
    <x v="1"/>
    <x v="0"/>
    <x v="11"/>
    <x v="1"/>
    <x v="8"/>
    <n v="9869.2999999999993"/>
    <n v="6437"/>
    <n v="3432.3"/>
    <n v="4558.7"/>
    <n v="46.190712609999999"/>
    <n v="5310.6"/>
    <n v="0.53809287390000005"/>
  </r>
  <r>
    <x v="330"/>
    <x v="0"/>
    <x v="1"/>
    <x v="1"/>
    <x v="9"/>
    <x v="0"/>
    <x v="43"/>
    <n v="9862.6"/>
    <n v="4889.8"/>
    <n v="4976.3999999999996"/>
    <n v="1538.9"/>
    <n v="15.60339059"/>
    <n v="8323.7000000000007"/>
    <n v="0.84396609410000001"/>
  </r>
  <r>
    <x v="331"/>
    <x v="1"/>
    <x v="2"/>
    <x v="0"/>
    <x v="1"/>
    <x v="0"/>
    <x v="14"/>
    <n v="9859.6"/>
    <n v="4832.5"/>
    <n v="5032.8999999999996"/>
    <n v="2441.1"/>
    <n v="24.758610900000001"/>
    <n v="7418.5"/>
    <n v="0.75241389100000011"/>
  </r>
  <r>
    <x v="332"/>
    <x v="0"/>
    <x v="10"/>
    <x v="1"/>
    <x v="9"/>
    <x v="0"/>
    <x v="44"/>
    <n v="9854"/>
    <n v="8668.1"/>
    <n v="1197.3"/>
    <n v="2611.1"/>
    <n v="26.497868889999999"/>
    <n v="7242.9"/>
    <n v="0.73502131109999991"/>
  </r>
  <r>
    <x v="333"/>
    <x v="1"/>
    <x v="1"/>
    <x v="0"/>
    <x v="1"/>
    <x v="0"/>
    <x v="27"/>
    <n v="9797.7999999999993"/>
    <n v="9279.7000000000007"/>
    <n v="543.29999999999995"/>
    <n v="8953.2000000000007"/>
    <n v="91.379697480000004"/>
    <n v="844.6"/>
    <n v="8.6203025170000003E-2"/>
  </r>
  <r>
    <x v="334"/>
    <x v="0"/>
    <x v="1"/>
    <x v="0"/>
    <x v="0"/>
    <x v="0"/>
    <x v="15"/>
    <n v="9734"/>
    <n v="4314.3"/>
    <n v="5425.4"/>
    <n v="31"/>
    <n v="0.31847133760000002"/>
    <n v="9703"/>
    <n v="0.99681528659999996"/>
  </r>
  <r>
    <x v="335"/>
    <x v="0"/>
    <x v="1"/>
    <x v="0"/>
    <x v="3"/>
    <x v="0"/>
    <x v="2"/>
    <n v="9713"/>
    <n v="5586.8"/>
    <n v="4126.1000000000004"/>
    <n v="2334.8000000000002"/>
    <n v="24.03788737"/>
    <n v="7378.2"/>
    <n v="0.75962112629999989"/>
  </r>
  <r>
    <x v="336"/>
    <x v="0"/>
    <x v="1"/>
    <x v="0"/>
    <x v="17"/>
    <x v="1"/>
    <x v="9"/>
    <n v="9666.1"/>
    <n v="9207.9"/>
    <n v="460.8"/>
    <n v="9168.2999999999993"/>
    <n v="94.850042930000001"/>
    <n v="497.8"/>
    <n v="5.1499570660000001E-2"/>
  </r>
  <r>
    <x v="337"/>
    <x v="0"/>
    <x v="10"/>
    <x v="1"/>
    <x v="9"/>
    <x v="0"/>
    <x v="22"/>
    <n v="9609"/>
    <n v="5573.7"/>
    <n v="4061"/>
    <n v="436.8"/>
    <n v="4.5457383699999996"/>
    <n v="9172.2000000000007"/>
    <n v="0.95454261630000004"/>
  </r>
  <r>
    <x v="338"/>
    <x v="0"/>
    <x v="1"/>
    <x v="0"/>
    <x v="3"/>
    <x v="0"/>
    <x v="14"/>
    <n v="9513.7000000000007"/>
    <n v="9454.2999999999993"/>
    <n v="63.4"/>
    <n v="1289.2"/>
    <n v="13.55098437"/>
    <n v="8224.5"/>
    <n v="0.86449015630000003"/>
  </r>
  <r>
    <x v="339"/>
    <x v="0"/>
    <x v="11"/>
    <x v="0"/>
    <x v="3"/>
    <x v="1"/>
    <x v="14"/>
    <n v="9513"/>
    <n v="9329.2999999999993"/>
    <n v="185.8"/>
    <n v="8793"/>
    <n v="92.431409650000006"/>
    <n v="720"/>
    <n v="7.5685903499999999E-2"/>
  </r>
  <r>
    <x v="340"/>
    <x v="0"/>
    <x v="10"/>
    <x v="1"/>
    <x v="10"/>
    <x v="1"/>
    <x v="11"/>
    <n v="9503.2999999999993"/>
    <n v="2467.8000000000002"/>
    <n v="7045.9"/>
    <n v="9278.4"/>
    <n v="97.633453639999999"/>
    <n v="224.9"/>
    <n v="2.3665463580000001E-2"/>
  </r>
  <r>
    <x v="341"/>
    <x v="0"/>
    <x v="1"/>
    <x v="1"/>
    <x v="14"/>
    <x v="0"/>
    <x v="8"/>
    <n v="9495.2000000000007"/>
    <n v="6483.6"/>
    <n v="3011.7"/>
    <n v="4320.3999999999996"/>
    <n v="45.500884659999997"/>
    <n v="5174.8"/>
    <n v="0.54499115340000004"/>
  </r>
  <r>
    <x v="342"/>
    <x v="0"/>
    <x v="2"/>
    <x v="0"/>
    <x v="6"/>
    <x v="1"/>
    <x v="8"/>
    <n v="9439.9"/>
    <n v="4498.2"/>
    <n v="4948.6000000000004"/>
    <n v="5621.4"/>
    <n v="59.549359629999998"/>
    <n v="3818.5"/>
    <n v="0.40450640370000002"/>
  </r>
  <r>
    <x v="343"/>
    <x v="0"/>
    <x v="32"/>
    <x v="8"/>
    <x v="0"/>
    <x v="0"/>
    <x v="4"/>
    <n v="9437.2999999999993"/>
    <n v="6110.3"/>
    <n v="3331.7"/>
    <n v="2399.1999999999998"/>
    <n v="25.42252551"/>
    <n v="7038.1"/>
    <n v="0.74577474489999995"/>
  </r>
  <r>
    <x v="344"/>
    <x v="1"/>
    <x v="2"/>
    <x v="0"/>
    <x v="5"/>
    <x v="1"/>
    <x v="2"/>
    <n v="9401"/>
    <n v="8691.5"/>
    <n v="712.9"/>
    <n v="8081.2"/>
    <n v="85.961067970000002"/>
    <n v="1319.8"/>
    <n v="0.14038932030000001"/>
  </r>
  <r>
    <x v="345"/>
    <x v="0"/>
    <x v="1"/>
    <x v="0"/>
    <x v="0"/>
    <x v="0"/>
    <x v="16"/>
    <n v="9362.2999999999993"/>
    <n v="4260.1000000000004"/>
    <n v="5102.2"/>
    <n v="1075.5999999999999"/>
    <n v="11.48862993"/>
    <n v="8286.7000000000007"/>
    <n v="0.88511370069999995"/>
  </r>
  <r>
    <x v="346"/>
    <x v="0"/>
    <x v="23"/>
    <x v="1"/>
    <x v="9"/>
    <x v="0"/>
    <x v="42"/>
    <n v="9340.1"/>
    <n v="6691.7"/>
    <n v="2658.2"/>
    <n v="5230.2"/>
    <n v="55.997259130000003"/>
    <n v="4109.8999999999996"/>
    <n v="0.44002740869999996"/>
  </r>
  <r>
    <x v="347"/>
    <x v="0"/>
    <x v="1"/>
    <x v="0"/>
    <x v="0"/>
    <x v="0"/>
    <x v="17"/>
    <n v="9314.7999999999993"/>
    <n v="5409.5"/>
    <n v="3905.3"/>
    <n v="1907.2"/>
    <n v="20.474943100000001"/>
    <n v="7407.6"/>
    <n v="0.79525056899999991"/>
  </r>
  <r>
    <x v="348"/>
    <x v="0"/>
    <x v="1"/>
    <x v="0"/>
    <x v="3"/>
    <x v="0"/>
    <x v="26"/>
    <n v="9302.9"/>
    <n v="5809.3"/>
    <n v="3497.2"/>
    <n v="5699"/>
    <n v="61.260467169999998"/>
    <n v="3603.9"/>
    <n v="0.38739532830000001"/>
  </r>
  <r>
    <x v="349"/>
    <x v="0"/>
    <x v="1"/>
    <x v="0"/>
    <x v="5"/>
    <x v="0"/>
    <x v="53"/>
    <n v="9290.9"/>
    <n v="9255.2000000000007"/>
    <n v="40.4"/>
    <n v="9207.2000000000007"/>
    <n v="99.099118489999995"/>
    <n v="83.7"/>
    <n v="9.008815077E-3"/>
  </r>
  <r>
    <x v="350"/>
    <x v="0"/>
    <x v="1"/>
    <x v="0"/>
    <x v="11"/>
    <x v="0"/>
    <x v="11"/>
    <n v="9213.5"/>
    <n v="9212.7000000000007"/>
    <n v="8.3000000000000007"/>
    <n v="7646.2"/>
    <n v="82.98909209"/>
    <n v="1567.3"/>
    <n v="0.1701090791"/>
  </r>
  <r>
    <x v="351"/>
    <x v="0"/>
    <x v="2"/>
    <x v="0"/>
    <x v="5"/>
    <x v="1"/>
    <x v="10"/>
    <n v="9212.4"/>
    <n v="7752.7"/>
    <n v="1460.8"/>
    <n v="9165"/>
    <n v="99.4854761"/>
    <n v="47.4"/>
    <n v="5.1452390260000001E-3"/>
  </r>
  <r>
    <x v="352"/>
    <x v="0"/>
    <x v="2"/>
    <x v="0"/>
    <x v="7"/>
    <x v="0"/>
    <x v="7"/>
    <n v="9206.7000000000007"/>
    <n v="7645.1"/>
    <n v="1564.1"/>
    <n v="36.4"/>
    <n v="0.3953642456"/>
    <n v="9170.2999999999993"/>
    <n v="0.99604635750000003"/>
  </r>
  <r>
    <x v="353"/>
    <x v="0"/>
    <x v="1"/>
    <x v="0"/>
    <x v="1"/>
    <x v="0"/>
    <x v="27"/>
    <n v="9177.5"/>
    <n v="7949"/>
    <n v="1236.7"/>
    <n v="7238.3"/>
    <n v="78.870062649999994"/>
    <n v="1939.2"/>
    <n v="0.2112993735"/>
  </r>
  <r>
    <x v="354"/>
    <x v="0"/>
    <x v="4"/>
    <x v="1"/>
    <x v="9"/>
    <x v="0"/>
    <x v="51"/>
    <n v="9121.6"/>
    <n v="4954.8"/>
    <n v="4166.8"/>
    <n v="4039.5"/>
    <n v="44.28499386"/>
    <n v="5082.1000000000004"/>
    <n v="0.55715006140000001"/>
  </r>
  <r>
    <x v="355"/>
    <x v="1"/>
    <x v="1"/>
    <x v="0"/>
    <x v="1"/>
    <x v="0"/>
    <x v="10"/>
    <n v="9115.7000000000007"/>
    <n v="7543"/>
    <n v="1578.6"/>
    <n v="2706.2"/>
    <n v="29.68724289"/>
    <n v="6409.5"/>
    <n v="0.70312757110000002"/>
  </r>
  <r>
    <x v="356"/>
    <x v="0"/>
    <x v="10"/>
    <x v="1"/>
    <x v="0"/>
    <x v="1"/>
    <x v="18"/>
    <n v="9107.5"/>
    <n v="8630.9"/>
    <n v="487.3"/>
    <n v="5817.4"/>
    <n v="63.874828440000002"/>
    <n v="3290.1"/>
    <n v="0.36125171559999997"/>
  </r>
  <r>
    <x v="357"/>
    <x v="0"/>
    <x v="1"/>
    <x v="0"/>
    <x v="0"/>
    <x v="0"/>
    <x v="25"/>
    <n v="9084.9"/>
    <n v="4560.6000000000004"/>
    <n v="4524.3"/>
    <n v="1805.2"/>
    <n v="19.870334289999999"/>
    <n v="7279.7"/>
    <n v="0.80129665709999998"/>
  </r>
  <r>
    <x v="358"/>
    <x v="0"/>
    <x v="10"/>
    <x v="1"/>
    <x v="10"/>
    <x v="0"/>
    <x v="7"/>
    <n v="9076.4"/>
    <n v="3472"/>
    <n v="5604.3"/>
    <n v="752.1"/>
    <n v="8.2863249749999994"/>
    <n v="8324.2999999999993"/>
    <n v="0.91713675030000008"/>
  </r>
  <r>
    <x v="359"/>
    <x v="0"/>
    <x v="33"/>
    <x v="1"/>
    <x v="9"/>
    <x v="0"/>
    <x v="16"/>
    <n v="9056.5"/>
    <n v="5112.2"/>
    <n v="3944.3"/>
    <n v="561.5"/>
    <n v="6.1999668750000003"/>
    <n v="8495"/>
    <n v="0.93800033130000005"/>
  </r>
  <r>
    <x v="360"/>
    <x v="1"/>
    <x v="8"/>
    <x v="3"/>
    <x v="8"/>
    <x v="0"/>
    <x v="54"/>
    <n v="8988.2000000000007"/>
    <n v="2897.2"/>
    <n v="6102.8"/>
    <n v="551.1"/>
    <n v="6.1313722439999996"/>
    <n v="8437.1"/>
    <n v="0.93868627760000001"/>
  </r>
  <r>
    <x v="361"/>
    <x v="0"/>
    <x v="4"/>
    <x v="1"/>
    <x v="2"/>
    <x v="0"/>
    <x v="26"/>
    <n v="8965"/>
    <n v="6387.9"/>
    <n v="2587.4"/>
    <n v="1238.0999999999999"/>
    <n v="13.81037368"/>
    <n v="7726.9"/>
    <n v="0.86189626320000001"/>
  </r>
  <r>
    <x v="362"/>
    <x v="1"/>
    <x v="33"/>
    <x v="1"/>
    <x v="2"/>
    <x v="0"/>
    <x v="8"/>
    <n v="8960.1"/>
    <n v="3564"/>
    <n v="5398.2"/>
    <n v="687.9"/>
    <n v="7.6773696720000002"/>
    <n v="8272.2000000000007"/>
    <n v="0.9232263033"/>
  </r>
  <r>
    <x v="363"/>
    <x v="0"/>
    <x v="1"/>
    <x v="0"/>
    <x v="5"/>
    <x v="0"/>
    <x v="23"/>
    <n v="8927.6"/>
    <n v="8741.2000000000007"/>
    <n v="189.7"/>
    <n v="8713.2999999999993"/>
    <n v="97.599578829999999"/>
    <n v="214.3"/>
    <n v="2.400421166E-2"/>
  </r>
  <r>
    <x v="364"/>
    <x v="0"/>
    <x v="10"/>
    <x v="1"/>
    <x v="10"/>
    <x v="0"/>
    <x v="4"/>
    <n v="8916"/>
    <n v="8080"/>
    <n v="844.9"/>
    <n v="7975.8"/>
    <n v="89.454912519999993"/>
    <n v="940.2"/>
    <n v="0.1054508748"/>
  </r>
  <r>
    <x v="365"/>
    <x v="0"/>
    <x v="1"/>
    <x v="0"/>
    <x v="1"/>
    <x v="1"/>
    <x v="0"/>
    <n v="8909.9"/>
    <n v="6844.4"/>
    <n v="2067.6999999999998"/>
    <n v="6517.9"/>
    <n v="73.153458509999993"/>
    <n v="2392"/>
    <n v="0.26846541489999998"/>
  </r>
  <r>
    <x v="366"/>
    <x v="0"/>
    <x v="12"/>
    <x v="4"/>
    <x v="13"/>
    <x v="0"/>
    <x v="55"/>
    <n v="8906.9"/>
    <n v="8155.5"/>
    <n v="751.4"/>
    <n v="5041.5"/>
    <n v="56.602184819999998"/>
    <n v="3865.4"/>
    <n v="0.43397815180000004"/>
  </r>
  <r>
    <x v="367"/>
    <x v="1"/>
    <x v="1"/>
    <x v="0"/>
    <x v="1"/>
    <x v="0"/>
    <x v="8"/>
    <n v="8899.6"/>
    <n v="4219.1000000000004"/>
    <n v="4681.7"/>
    <n v="2876.3"/>
    <n v="32.319430089999997"/>
    <n v="6023.3"/>
    <n v="0.67680569909999999"/>
  </r>
  <r>
    <x v="368"/>
    <x v="0"/>
    <x v="1"/>
    <x v="0"/>
    <x v="18"/>
    <x v="1"/>
    <x v="29"/>
    <n v="8848.2999999999993"/>
    <n v="8855.1"/>
    <n v="0"/>
    <n v="8823.4"/>
    <n v="99.71859001"/>
    <n v="24.9"/>
    <n v="2.814099884E-3"/>
  </r>
  <r>
    <x v="369"/>
    <x v="1"/>
    <x v="1"/>
    <x v="0"/>
    <x v="1"/>
    <x v="0"/>
    <x v="9"/>
    <n v="8831"/>
    <n v="6995.1"/>
    <n v="1840.3"/>
    <n v="6603.2"/>
    <n v="74.772958889999998"/>
    <n v="2227.8000000000002"/>
    <n v="0.25227041109999998"/>
  </r>
  <r>
    <x v="370"/>
    <x v="1"/>
    <x v="1"/>
    <x v="0"/>
    <x v="3"/>
    <x v="0"/>
    <x v="46"/>
    <n v="8828.7999999999993"/>
    <n v="7564.4"/>
    <n v="1267.8"/>
    <n v="6762.6"/>
    <n v="76.597046030000001"/>
    <n v="2066.1999999999998"/>
    <n v="0.23402953969999998"/>
  </r>
  <r>
    <x v="371"/>
    <x v="1"/>
    <x v="14"/>
    <x v="0"/>
    <x v="1"/>
    <x v="0"/>
    <x v="0"/>
    <n v="8809.4"/>
    <n v="5689.4"/>
    <n v="3122.8"/>
    <n v="4223.1000000000004"/>
    <n v="47.938565619999999"/>
    <n v="4586.3"/>
    <n v="0.52061434380000005"/>
  </r>
  <r>
    <x v="372"/>
    <x v="0"/>
    <x v="1"/>
    <x v="1"/>
    <x v="2"/>
    <x v="0"/>
    <x v="8"/>
    <n v="8801.6"/>
    <n v="1220.5999999999999"/>
    <n v="7581"/>
    <n v="0"/>
    <n v="0"/>
    <n v="8801.6"/>
    <n v="1"/>
  </r>
  <r>
    <x v="373"/>
    <x v="1"/>
    <x v="2"/>
    <x v="0"/>
    <x v="20"/>
    <x v="0"/>
    <x v="20"/>
    <n v="8780.4"/>
    <n v="8238.2000000000007"/>
    <n v="547.70000000000005"/>
    <n v="7557.9"/>
    <n v="86.076944100000006"/>
    <n v="1222.5"/>
    <n v="0.139230559"/>
  </r>
  <r>
    <x v="374"/>
    <x v="0"/>
    <x v="1"/>
    <x v="0"/>
    <x v="1"/>
    <x v="1"/>
    <x v="8"/>
    <n v="8779.9"/>
    <n v="7850.9"/>
    <n v="932.8"/>
    <n v="8155.1"/>
    <n v="92.883745829999995"/>
    <n v="624.79999999999995"/>
    <n v="7.1162541709999999E-2"/>
  </r>
  <r>
    <x v="375"/>
    <x v="0"/>
    <x v="8"/>
    <x v="3"/>
    <x v="8"/>
    <x v="0"/>
    <x v="7"/>
    <n v="8733"/>
    <n v="2987.7"/>
    <n v="5745.3"/>
    <n v="6.8"/>
    <n v="7.7865567390000001E-2"/>
    <n v="8726.2000000000007"/>
    <n v="0.99922134429999998"/>
  </r>
  <r>
    <x v="376"/>
    <x v="0"/>
    <x v="2"/>
    <x v="0"/>
    <x v="0"/>
    <x v="0"/>
    <x v="7"/>
    <n v="8715.2000000000007"/>
    <n v="7648.8"/>
    <n v="1071.5999999999999"/>
    <n v="2526.6999999999998"/>
    <n v="28.991876260000002"/>
    <n v="6188.5"/>
    <n v="0.71008123740000006"/>
  </r>
  <r>
    <x v="377"/>
    <x v="1"/>
    <x v="0"/>
    <x v="0"/>
    <x v="1"/>
    <x v="0"/>
    <x v="18"/>
    <n v="8706.4"/>
    <n v="8477.2999999999993"/>
    <n v="233"/>
    <n v="8083.8"/>
    <n v="92.848938709999999"/>
    <n v="622.6"/>
    <n v="7.1510612880000005E-2"/>
  </r>
  <r>
    <x v="378"/>
    <x v="0"/>
    <x v="34"/>
    <x v="0"/>
    <x v="7"/>
    <x v="0"/>
    <x v="14"/>
    <n v="8699.2000000000007"/>
    <n v="8316.2000000000007"/>
    <n v="386.2"/>
    <n v="1923.6"/>
    <n v="22.112378150000001"/>
    <n v="6775.6"/>
    <n v="0.77887621849999999"/>
  </r>
  <r>
    <x v="379"/>
    <x v="0"/>
    <x v="1"/>
    <x v="0"/>
    <x v="5"/>
    <x v="1"/>
    <x v="20"/>
    <n v="8647.7999999999993"/>
    <n v="8598.1"/>
    <n v="54"/>
    <n v="8555.2000000000007"/>
    <n v="98.929207430000005"/>
    <n v="92.6"/>
    <n v="1.0707925720000001E-2"/>
  </r>
  <r>
    <x v="380"/>
    <x v="0"/>
    <x v="10"/>
    <x v="1"/>
    <x v="10"/>
    <x v="0"/>
    <x v="39"/>
    <n v="8622.1"/>
    <n v="8534"/>
    <n v="98.1"/>
    <n v="7271"/>
    <n v="84.329803639999994"/>
    <n v="1351.1"/>
    <n v="0.15670196359999999"/>
  </r>
  <r>
    <x v="381"/>
    <x v="0"/>
    <x v="10"/>
    <x v="1"/>
    <x v="9"/>
    <x v="0"/>
    <x v="41"/>
    <n v="8617.1"/>
    <n v="7717.5"/>
    <n v="899.6"/>
    <n v="6368.3"/>
    <n v="73.903053229999998"/>
    <n v="2248.8000000000002"/>
    <n v="0.26096946770000001"/>
  </r>
  <r>
    <x v="382"/>
    <x v="0"/>
    <x v="2"/>
    <x v="0"/>
    <x v="6"/>
    <x v="1"/>
    <x v="9"/>
    <n v="8591.1"/>
    <n v="8578.7000000000007"/>
    <n v="15.4"/>
    <n v="7995.8"/>
    <n v="93.070735990000003"/>
    <n v="595.29999999999995"/>
    <n v="6.9292640060000008E-2"/>
  </r>
  <r>
    <x v="383"/>
    <x v="0"/>
    <x v="8"/>
    <x v="3"/>
    <x v="8"/>
    <x v="1"/>
    <x v="2"/>
    <n v="8584.2000000000007"/>
    <n v="6741.1"/>
    <n v="1843.2"/>
    <n v="20"/>
    <n v="0.2329861839"/>
    <n v="8564.2000000000007"/>
    <n v="0.99767013820000006"/>
  </r>
  <r>
    <x v="384"/>
    <x v="0"/>
    <x v="1"/>
    <x v="0"/>
    <x v="0"/>
    <x v="0"/>
    <x v="14"/>
    <n v="8564.5"/>
    <n v="5566.1"/>
    <n v="3001.4"/>
    <n v="3239"/>
    <n v="37.81890361"/>
    <n v="5325.5"/>
    <n v="0.62181096390000001"/>
  </r>
  <r>
    <x v="385"/>
    <x v="0"/>
    <x v="0"/>
    <x v="0"/>
    <x v="0"/>
    <x v="0"/>
    <x v="17"/>
    <n v="8564.4"/>
    <n v="5619.6"/>
    <n v="2944.9"/>
    <n v="1852.6"/>
    <n v="21.631404419999999"/>
    <n v="6711.8"/>
    <n v="0.7836859558"/>
  </r>
  <r>
    <x v="386"/>
    <x v="0"/>
    <x v="1"/>
    <x v="0"/>
    <x v="5"/>
    <x v="0"/>
    <x v="25"/>
    <n v="8551.4"/>
    <n v="8199.2999999999993"/>
    <n v="355"/>
    <n v="7907.6"/>
    <n v="92.471408190000005"/>
    <n v="643.79999999999995"/>
    <n v="7.5285918100000002E-2"/>
  </r>
  <r>
    <x v="387"/>
    <x v="2"/>
    <x v="5"/>
    <x v="2"/>
    <x v="4"/>
    <x v="1"/>
    <x v="7"/>
    <n v="8531.2999999999993"/>
    <n v="8465.7000000000007"/>
    <n v="70"/>
    <n v="8284.9"/>
    <n v="97.111811799999998"/>
    <n v="246.4"/>
    <n v="2.8881882010000002E-2"/>
  </r>
  <r>
    <x v="388"/>
    <x v="0"/>
    <x v="21"/>
    <x v="0"/>
    <x v="5"/>
    <x v="1"/>
    <x v="16"/>
    <n v="8509.5"/>
    <n v="8483.9"/>
    <n v="29.2"/>
    <n v="6435.4"/>
    <n v="75.626064990000003"/>
    <n v="2074.1"/>
    <n v="0.2437393501"/>
  </r>
  <r>
    <x v="389"/>
    <x v="1"/>
    <x v="22"/>
    <x v="1"/>
    <x v="1"/>
    <x v="0"/>
    <x v="19"/>
    <n v="8507.9"/>
    <n v="5811.9"/>
    <n v="2696"/>
    <n v="1929.8"/>
    <n v="22.68244808"/>
    <n v="6578.1"/>
    <n v="0.77317551920000005"/>
  </r>
  <r>
    <x v="390"/>
    <x v="2"/>
    <x v="1"/>
    <x v="0"/>
    <x v="1"/>
    <x v="1"/>
    <x v="5"/>
    <n v="8485.9"/>
    <n v="8144"/>
    <n v="346"/>
    <n v="8125.7"/>
    <n v="95.755311750000004"/>
    <n v="360.2"/>
    <n v="4.2446882480000003E-2"/>
  </r>
  <r>
    <x v="391"/>
    <x v="0"/>
    <x v="5"/>
    <x v="2"/>
    <x v="4"/>
    <x v="0"/>
    <x v="1"/>
    <n v="8472.9"/>
    <n v="7819.3"/>
    <n v="656.6"/>
    <n v="6967.6"/>
    <n v="82.233945869999999"/>
    <n v="1505.3"/>
    <n v="0.1776605413"/>
  </r>
  <r>
    <x v="392"/>
    <x v="0"/>
    <x v="1"/>
    <x v="1"/>
    <x v="2"/>
    <x v="1"/>
    <x v="3"/>
    <n v="8457.4"/>
    <n v="369.6"/>
    <n v="8087.7"/>
    <n v="1.3"/>
    <n v="1.537115426E-2"/>
    <n v="8456.1"/>
    <n v="0.99984628850000012"/>
  </r>
  <r>
    <x v="393"/>
    <x v="0"/>
    <x v="1"/>
    <x v="0"/>
    <x v="0"/>
    <x v="0"/>
    <x v="26"/>
    <n v="8453.7000000000007"/>
    <n v="6568.5"/>
    <n v="1885.2"/>
    <n v="4039.2"/>
    <n v="47.780261899999999"/>
    <n v="4414.5"/>
    <n v="0.52219738100000002"/>
  </r>
  <r>
    <x v="394"/>
    <x v="0"/>
    <x v="35"/>
    <x v="7"/>
    <x v="0"/>
    <x v="0"/>
    <x v="1"/>
    <n v="8439.5"/>
    <n v="6942.6"/>
    <n v="1509.4"/>
    <n v="3538.8"/>
    <n v="41.931394040000001"/>
    <n v="4900.7"/>
    <n v="0.58068605959999997"/>
  </r>
  <r>
    <x v="395"/>
    <x v="0"/>
    <x v="10"/>
    <x v="1"/>
    <x v="10"/>
    <x v="1"/>
    <x v="8"/>
    <n v="8433.7999999999993"/>
    <n v="7838.5"/>
    <n v="603.29999999999995"/>
    <n v="7244.3"/>
    <n v="85.896037370000002"/>
    <n v="1189.5"/>
    <n v="0.1410396263"/>
  </r>
  <r>
    <x v="396"/>
    <x v="1"/>
    <x v="1"/>
    <x v="0"/>
    <x v="1"/>
    <x v="0"/>
    <x v="17"/>
    <n v="8382.9"/>
    <n v="8387.7999999999993"/>
    <n v="0"/>
    <n v="8380.2999999999993"/>
    <n v="99.968984480000003"/>
    <n v="2.6"/>
    <n v="3.1015519689999999E-4"/>
  </r>
  <r>
    <x v="397"/>
    <x v="0"/>
    <x v="1"/>
    <x v="0"/>
    <x v="20"/>
    <x v="0"/>
    <x v="28"/>
    <n v="8371.5"/>
    <n v="7723.5"/>
    <n v="648"/>
    <n v="7485.7"/>
    <n v="89.418861609999993"/>
    <n v="885.8"/>
    <n v="0.1058113839"/>
  </r>
  <r>
    <x v="398"/>
    <x v="0"/>
    <x v="1"/>
    <x v="0"/>
    <x v="0"/>
    <x v="0"/>
    <x v="13"/>
    <n v="8370.9"/>
    <n v="1884.2"/>
    <n v="6486.7"/>
    <n v="175.8"/>
    <n v="2.100132602"/>
    <n v="8195.1"/>
    <n v="0.97899867400000007"/>
  </r>
  <r>
    <x v="399"/>
    <x v="0"/>
    <x v="2"/>
    <x v="0"/>
    <x v="1"/>
    <x v="0"/>
    <x v="20"/>
    <n v="8366.2999999999993"/>
    <n v="6159.1"/>
    <n v="2210.1"/>
    <n v="10.3"/>
    <n v="0.1231129651"/>
    <n v="8356"/>
    <n v="0.99876887030000006"/>
  </r>
  <r>
    <x v="400"/>
    <x v="1"/>
    <x v="1"/>
    <x v="0"/>
    <x v="1"/>
    <x v="0"/>
    <x v="18"/>
    <n v="8339.2999999999993"/>
    <n v="7864.3"/>
    <n v="477.4"/>
    <n v="7297.4"/>
    <n v="87.506145599999996"/>
    <n v="1041.9000000000001"/>
    <n v="0.124938544"/>
  </r>
  <r>
    <x v="401"/>
    <x v="0"/>
    <x v="1"/>
    <x v="0"/>
    <x v="5"/>
    <x v="1"/>
    <x v="42"/>
    <n v="8330.4"/>
    <n v="8328.6"/>
    <n v="5.6"/>
    <n v="8188.5"/>
    <n v="98.296600400000003"/>
    <n v="141.9"/>
    <n v="1.703399597E-2"/>
  </r>
  <r>
    <x v="402"/>
    <x v="0"/>
    <x v="12"/>
    <x v="4"/>
    <x v="0"/>
    <x v="0"/>
    <x v="0"/>
    <n v="8326.7000000000007"/>
    <n v="4696.3999999999996"/>
    <n v="3630.4"/>
    <n v="1125.8"/>
    <n v="13.52036221"/>
    <n v="7200.9"/>
    <n v="0.86479637789999997"/>
  </r>
  <r>
    <x v="403"/>
    <x v="1"/>
    <x v="12"/>
    <x v="4"/>
    <x v="21"/>
    <x v="0"/>
    <x v="54"/>
    <n v="8316.5"/>
    <n v="8317.7999999999993"/>
    <n v="0"/>
    <n v="8289"/>
    <n v="99.669332049999994"/>
    <n v="27.5"/>
    <n v="3.3066794930000001E-3"/>
  </r>
  <r>
    <x v="404"/>
    <x v="0"/>
    <x v="22"/>
    <x v="1"/>
    <x v="0"/>
    <x v="0"/>
    <x v="24"/>
    <n v="8309.1"/>
    <n v="5592"/>
    <n v="2724.4"/>
    <n v="3545.8"/>
    <n v="42.673695109999997"/>
    <n v="4763.3"/>
    <n v="0.57326304890000002"/>
  </r>
  <r>
    <x v="405"/>
    <x v="0"/>
    <x v="1"/>
    <x v="1"/>
    <x v="2"/>
    <x v="0"/>
    <x v="27"/>
    <n v="8282.2999999999993"/>
    <n v="6707"/>
    <n v="1607.4"/>
    <n v="999.5"/>
    <n v="12.06790384"/>
    <n v="7282.8"/>
    <n v="0.87932096159999995"/>
  </r>
  <r>
    <x v="406"/>
    <x v="0"/>
    <x v="12"/>
    <x v="0"/>
    <x v="7"/>
    <x v="0"/>
    <x v="1"/>
    <n v="8278.7000000000007"/>
    <n v="4898.7"/>
    <n v="3389.6"/>
    <n v="53.5"/>
    <n v="0.64623672799999998"/>
    <n v="8225.2000000000007"/>
    <n v="0.99353763270000006"/>
  </r>
  <r>
    <x v="407"/>
    <x v="0"/>
    <x v="21"/>
    <x v="0"/>
    <x v="1"/>
    <x v="0"/>
    <x v="8"/>
    <n v="8263"/>
    <n v="3585.1"/>
    <n v="4693.6000000000004"/>
    <n v="6241"/>
    <n v="75.529468719999997"/>
    <n v="2022"/>
    <n v="0.24470531279999999"/>
  </r>
  <r>
    <x v="408"/>
    <x v="0"/>
    <x v="1"/>
    <x v="0"/>
    <x v="0"/>
    <x v="0"/>
    <x v="17"/>
    <n v="8240.2000000000007"/>
    <n v="6845.4"/>
    <n v="1394.8"/>
    <n v="2320.6999999999998"/>
    <n v="28.163151379999999"/>
    <n v="5919.5"/>
    <n v="0.71836848619999993"/>
  </r>
  <r>
    <x v="409"/>
    <x v="0"/>
    <x v="1"/>
    <x v="0"/>
    <x v="0"/>
    <x v="0"/>
    <x v="41"/>
    <n v="8235.9"/>
    <n v="1236.7"/>
    <n v="6999.2"/>
    <n v="228.2"/>
    <n v="2.7707961490000002"/>
    <n v="8007.7"/>
    <n v="0.97229203850000001"/>
  </r>
  <r>
    <x v="410"/>
    <x v="0"/>
    <x v="1"/>
    <x v="1"/>
    <x v="2"/>
    <x v="0"/>
    <x v="14"/>
    <n v="8216.5"/>
    <n v="760.9"/>
    <n v="7455.6"/>
    <n v="196.8"/>
    <n v="2.3951804299999999"/>
    <n v="8019.7"/>
    <n v="0.97604819570000001"/>
  </r>
  <r>
    <x v="411"/>
    <x v="0"/>
    <x v="10"/>
    <x v="1"/>
    <x v="10"/>
    <x v="0"/>
    <x v="56"/>
    <n v="8205.4"/>
    <n v="8009"/>
    <n v="204.5"/>
    <n v="7878.1"/>
    <n v="96.011163379999999"/>
    <n v="327.3"/>
    <n v="3.9888366199999997E-2"/>
  </r>
  <r>
    <x v="412"/>
    <x v="0"/>
    <x v="0"/>
    <x v="0"/>
    <x v="5"/>
    <x v="1"/>
    <x v="20"/>
    <n v="8203"/>
    <n v="7983.1"/>
    <n v="224.9"/>
    <n v="7947.8"/>
    <n v="96.888943069999996"/>
    <n v="255.2"/>
    <n v="3.1110569300000002E-2"/>
  </r>
  <r>
    <x v="413"/>
    <x v="2"/>
    <x v="1"/>
    <x v="0"/>
    <x v="5"/>
    <x v="1"/>
    <x v="23"/>
    <n v="8200.1"/>
    <n v="7224.1"/>
    <n v="979.3"/>
    <n v="7171.3"/>
    <n v="87.453811540000004"/>
    <n v="1028.8"/>
    <n v="0.12546188459999999"/>
  </r>
  <r>
    <x v="414"/>
    <x v="0"/>
    <x v="2"/>
    <x v="0"/>
    <x v="1"/>
    <x v="1"/>
    <x v="57"/>
    <n v="8197.2000000000007"/>
    <n v="8080.4"/>
    <n v="120.7"/>
    <n v="7892.6"/>
    <n v="96.284097009999996"/>
    <n v="304.60000000000002"/>
    <n v="3.7159029910000002E-2"/>
  </r>
  <r>
    <x v="415"/>
    <x v="0"/>
    <x v="36"/>
    <x v="3"/>
    <x v="8"/>
    <x v="0"/>
    <x v="54"/>
    <n v="8186.9"/>
    <n v="3408.5"/>
    <n v="4789.5"/>
    <n v="515.9"/>
    <n v="6.3015304939999996"/>
    <n v="7671"/>
    <n v="0.93698469509999993"/>
  </r>
  <r>
    <x v="416"/>
    <x v="0"/>
    <x v="4"/>
    <x v="1"/>
    <x v="9"/>
    <x v="1"/>
    <x v="9"/>
    <n v="8164.9"/>
    <n v="7391.5"/>
    <n v="775.8"/>
    <n v="1621.1"/>
    <n v="19.854499140000001"/>
    <n v="6543.8"/>
    <n v="0.80145500859999996"/>
  </r>
  <r>
    <x v="417"/>
    <x v="0"/>
    <x v="1"/>
    <x v="0"/>
    <x v="0"/>
    <x v="0"/>
    <x v="7"/>
    <n v="8148"/>
    <n v="7808"/>
    <n v="340"/>
    <n v="6616.8"/>
    <n v="81.207658319999993"/>
    <n v="1531.2"/>
    <n v="0.18792341679999999"/>
  </r>
  <r>
    <x v="418"/>
    <x v="0"/>
    <x v="11"/>
    <x v="0"/>
    <x v="17"/>
    <x v="0"/>
    <x v="1"/>
    <n v="8092.2"/>
    <n v="7918.7"/>
    <n v="176.9"/>
    <n v="7804.3"/>
    <n v="96.442253030000003"/>
    <n v="287.89999999999998"/>
    <n v="3.557746966E-2"/>
  </r>
  <r>
    <x v="419"/>
    <x v="0"/>
    <x v="1"/>
    <x v="0"/>
    <x v="17"/>
    <x v="0"/>
    <x v="11"/>
    <n v="8065.4"/>
    <n v="7161.8"/>
    <n v="905.7"/>
    <n v="4817"/>
    <n v="59.724254219999999"/>
    <n v="3248.4"/>
    <n v="0.4027574578"/>
  </r>
  <r>
    <x v="420"/>
    <x v="0"/>
    <x v="1"/>
    <x v="1"/>
    <x v="10"/>
    <x v="1"/>
    <x v="22"/>
    <n v="8063.4"/>
    <n v="5540.4"/>
    <n v="2525"/>
    <n v="3610.3"/>
    <n v="44.773916710000002"/>
    <n v="4453.1000000000004"/>
    <n v="0.55226083289999994"/>
  </r>
  <r>
    <x v="421"/>
    <x v="1"/>
    <x v="5"/>
    <x v="2"/>
    <x v="4"/>
    <x v="0"/>
    <x v="19"/>
    <n v="8056.8"/>
    <n v="4415.6000000000004"/>
    <n v="3648.3"/>
    <n v="3447"/>
    <n v="42.783735479999997"/>
    <n v="4609.8"/>
    <n v="0.57216264520000004"/>
  </r>
  <r>
    <x v="422"/>
    <x v="0"/>
    <x v="1"/>
    <x v="0"/>
    <x v="0"/>
    <x v="0"/>
    <x v="4"/>
    <n v="8043.6"/>
    <n v="7678.7"/>
    <n v="364.9"/>
    <n v="6527.6"/>
    <n v="81.152717690000003"/>
    <n v="1516"/>
    <n v="0.18847282310000002"/>
  </r>
  <r>
    <x v="423"/>
    <x v="0"/>
    <x v="1"/>
    <x v="0"/>
    <x v="0"/>
    <x v="1"/>
    <x v="1"/>
    <n v="8030.3"/>
    <n v="7270.4"/>
    <n v="754.2"/>
    <n v="4098.3999999999996"/>
    <n v="51.0366985"/>
    <n v="3931.9"/>
    <n v="0.489633015"/>
  </r>
  <r>
    <x v="424"/>
    <x v="1"/>
    <x v="2"/>
    <x v="0"/>
    <x v="1"/>
    <x v="0"/>
    <x v="14"/>
    <n v="8019.9"/>
    <n v="3097.3"/>
    <n v="4922.6000000000004"/>
    <n v="2755.3"/>
    <n v="34.355789969999996"/>
    <n v="5264.6"/>
    <n v="0.65644210029999994"/>
  </r>
  <r>
    <x v="425"/>
    <x v="0"/>
    <x v="2"/>
    <x v="0"/>
    <x v="5"/>
    <x v="1"/>
    <x v="36"/>
    <n v="8014.7"/>
    <n v="8019.1"/>
    <n v="0"/>
    <n v="8014.7"/>
    <n v="100"/>
    <n v="0"/>
    <n v="0"/>
  </r>
  <r>
    <x v="426"/>
    <x v="0"/>
    <x v="1"/>
    <x v="0"/>
    <x v="5"/>
    <x v="1"/>
    <x v="47"/>
    <n v="7987.3"/>
    <n v="7990.9"/>
    <n v="0"/>
    <n v="7987.3"/>
    <n v="100"/>
    <n v="0"/>
    <n v="0"/>
  </r>
  <r>
    <x v="427"/>
    <x v="0"/>
    <x v="2"/>
    <x v="0"/>
    <x v="5"/>
    <x v="1"/>
    <x v="55"/>
    <n v="7976.6"/>
    <n v="7980.4"/>
    <n v="0.6"/>
    <n v="7960.2"/>
    <n v="99.794398619999996"/>
    <n v="16.399999999999999"/>
    <n v="2.0560138399999999E-3"/>
  </r>
  <r>
    <x v="428"/>
    <x v="0"/>
    <x v="2"/>
    <x v="0"/>
    <x v="1"/>
    <x v="0"/>
    <x v="58"/>
    <n v="7940.4"/>
    <n v="7942.6"/>
    <n v="0"/>
    <n v="7116.9"/>
    <n v="89.628985950000001"/>
    <n v="823.5"/>
    <n v="0.10371014049999999"/>
  </r>
  <r>
    <x v="429"/>
    <x v="0"/>
    <x v="1"/>
    <x v="0"/>
    <x v="5"/>
    <x v="1"/>
    <x v="25"/>
    <n v="7934.8"/>
    <n v="4641.5"/>
    <n v="3299.4"/>
    <n v="7901.6"/>
    <n v="99.581589960000002"/>
    <n v="33.200000000000003"/>
    <n v="4.1841004180000006E-3"/>
  </r>
  <r>
    <x v="430"/>
    <x v="0"/>
    <x v="37"/>
    <x v="9"/>
    <x v="1"/>
    <x v="0"/>
    <x v="18"/>
    <n v="7934.5"/>
    <n v="2022.8"/>
    <n v="5906"/>
    <n v="723"/>
    <n v="9.1121053629999995"/>
    <n v="7211.5"/>
    <n v="0.9088789464"/>
  </r>
  <r>
    <x v="431"/>
    <x v="0"/>
    <x v="4"/>
    <x v="1"/>
    <x v="2"/>
    <x v="0"/>
    <x v="19"/>
    <n v="7921.6"/>
    <n v="7400.3"/>
    <n v="508.4"/>
    <n v="7.5"/>
    <n v="9.467784286E-2"/>
    <n v="7914.1"/>
    <n v="0.99905322159999999"/>
  </r>
  <r>
    <x v="432"/>
    <x v="1"/>
    <x v="2"/>
    <x v="0"/>
    <x v="20"/>
    <x v="0"/>
    <x v="26"/>
    <n v="7892.9"/>
    <n v="7895.6"/>
    <n v="0"/>
    <n v="7164.5"/>
    <n v="90.771452819999993"/>
    <n v="728.4"/>
    <n v="9.2285471749999987E-2"/>
  </r>
  <r>
    <x v="433"/>
    <x v="0"/>
    <x v="2"/>
    <x v="0"/>
    <x v="5"/>
    <x v="1"/>
    <x v="59"/>
    <n v="7891.3"/>
    <n v="7595.8"/>
    <n v="298.7"/>
    <n v="7890.8"/>
    <n v="99.993663909999995"/>
    <n v="0.5"/>
    <n v="6.3360916449999998E-5"/>
  </r>
  <r>
    <x v="434"/>
    <x v="1"/>
    <x v="5"/>
    <x v="2"/>
    <x v="4"/>
    <x v="1"/>
    <x v="45"/>
    <n v="7886.9"/>
    <n v="7880.6"/>
    <n v="5.3"/>
    <n v="7566"/>
    <n v="95.931227730000003"/>
    <n v="320.89999999999998"/>
    <n v="4.0687722680000003E-2"/>
  </r>
  <r>
    <x v="435"/>
    <x v="0"/>
    <x v="1"/>
    <x v="0"/>
    <x v="18"/>
    <x v="1"/>
    <x v="25"/>
    <n v="7871.9"/>
    <n v="7152"/>
    <n v="706.6"/>
    <n v="7858.1"/>
    <n v="99.824692889999994"/>
    <n v="13.8"/>
    <n v="1.7530710499999999E-3"/>
  </r>
  <r>
    <x v="436"/>
    <x v="0"/>
    <x v="38"/>
    <x v="1"/>
    <x v="9"/>
    <x v="0"/>
    <x v="46"/>
    <n v="7852.2"/>
    <n v="7854.4"/>
    <n v="4"/>
    <n v="7062"/>
    <n v="89.936578280000006"/>
    <n v="790.2"/>
    <n v="0.10063421719999999"/>
  </r>
  <r>
    <x v="437"/>
    <x v="2"/>
    <x v="10"/>
    <x v="1"/>
    <x v="9"/>
    <x v="1"/>
    <x v="38"/>
    <n v="7838.9"/>
    <n v="7528"/>
    <n v="310.89999999999998"/>
    <n v="2829.8"/>
    <n v="36.099452730000003"/>
    <n v="5009.1000000000004"/>
    <n v="0.63900547269999997"/>
  </r>
  <r>
    <x v="438"/>
    <x v="0"/>
    <x v="2"/>
    <x v="0"/>
    <x v="1"/>
    <x v="0"/>
    <x v="7"/>
    <n v="7824.1"/>
    <n v="6895.6"/>
    <n v="928.5"/>
    <n v="6188.5"/>
    <n v="79.095359209999998"/>
    <n v="1635.6"/>
    <n v="0.20904640789999998"/>
  </r>
  <r>
    <x v="439"/>
    <x v="0"/>
    <x v="1"/>
    <x v="0"/>
    <x v="0"/>
    <x v="0"/>
    <x v="16"/>
    <n v="7817.3"/>
    <n v="4590.3999999999996"/>
    <n v="3227"/>
    <n v="1655.2"/>
    <n v="21.173550970000001"/>
    <n v="6162.1"/>
    <n v="0.78826449030000001"/>
  </r>
  <r>
    <x v="440"/>
    <x v="0"/>
    <x v="1"/>
    <x v="0"/>
    <x v="3"/>
    <x v="0"/>
    <x v="19"/>
    <n v="7810.5"/>
    <n v="3575.2"/>
    <n v="4235.2"/>
    <n v="2342.1"/>
    <n v="29.98655656"/>
    <n v="5468.4"/>
    <n v="0.70013443440000001"/>
  </r>
  <r>
    <x v="441"/>
    <x v="0"/>
    <x v="2"/>
    <x v="0"/>
    <x v="7"/>
    <x v="1"/>
    <x v="8"/>
    <n v="7787.8"/>
    <n v="5988.8"/>
    <n v="1801.6"/>
    <n v="801"/>
    <n v="10.28531806"/>
    <n v="6986.8"/>
    <n v="0.89714681940000007"/>
  </r>
  <r>
    <x v="442"/>
    <x v="0"/>
    <x v="1"/>
    <x v="1"/>
    <x v="2"/>
    <x v="0"/>
    <x v="14"/>
    <n v="7785.3"/>
    <n v="2720.2"/>
    <n v="5065.1000000000004"/>
    <n v="69.3"/>
    <n v="0.89013910829999998"/>
    <n v="7716"/>
    <n v="0.9910986088999999"/>
  </r>
  <r>
    <x v="443"/>
    <x v="0"/>
    <x v="14"/>
    <x v="0"/>
    <x v="7"/>
    <x v="0"/>
    <x v="8"/>
    <n v="7765.7"/>
    <n v="4434.2"/>
    <n v="3331.5"/>
    <n v="781.1"/>
    <n v="10.05833344"/>
    <n v="6984.6"/>
    <n v="0.8994166656"/>
  </r>
  <r>
    <x v="444"/>
    <x v="0"/>
    <x v="39"/>
    <x v="4"/>
    <x v="0"/>
    <x v="0"/>
    <x v="0"/>
    <n v="7738.2"/>
    <n v="3470.6"/>
    <n v="4267.7"/>
    <n v="1580.4"/>
    <n v="20.423354270000001"/>
    <n v="6157.8"/>
    <n v="0.79576645729999995"/>
  </r>
  <r>
    <x v="445"/>
    <x v="0"/>
    <x v="1"/>
    <x v="0"/>
    <x v="0"/>
    <x v="0"/>
    <x v="21"/>
    <n v="7729.6"/>
    <n v="6445.6"/>
    <n v="1287.7"/>
    <n v="2355.3000000000002"/>
    <n v="30.47117574"/>
    <n v="5374.3"/>
    <n v="0.69528824259999988"/>
  </r>
  <r>
    <x v="446"/>
    <x v="0"/>
    <x v="2"/>
    <x v="0"/>
    <x v="5"/>
    <x v="1"/>
    <x v="2"/>
    <n v="7713.9"/>
    <n v="7713.9"/>
    <n v="0"/>
    <n v="7200.6"/>
    <n v="93.3457784"/>
    <n v="513.29999999999995"/>
    <n v="6.6542216000000001E-2"/>
  </r>
  <r>
    <x v="447"/>
    <x v="0"/>
    <x v="8"/>
    <x v="3"/>
    <x v="1"/>
    <x v="0"/>
    <x v="10"/>
    <n v="7689.5"/>
    <n v="107.1"/>
    <n v="7598.6"/>
    <n v="0"/>
    <n v="0"/>
    <n v="7689.5"/>
    <n v="1"/>
  </r>
  <r>
    <x v="448"/>
    <x v="0"/>
    <x v="1"/>
    <x v="0"/>
    <x v="5"/>
    <x v="1"/>
    <x v="13"/>
    <n v="7673.1"/>
    <n v="7673.1"/>
    <n v="0"/>
    <n v="7659.2"/>
    <n v="99.818847660000003"/>
    <n v="13.9"/>
    <n v="1.811523374E-3"/>
  </r>
  <r>
    <x v="449"/>
    <x v="0"/>
    <x v="1"/>
    <x v="1"/>
    <x v="2"/>
    <x v="0"/>
    <x v="3"/>
    <n v="7661.6"/>
    <n v="1713.9"/>
    <n v="5947.7"/>
    <n v="560.9"/>
    <n v="7.3209251330000003"/>
    <n v="7100.7"/>
    <n v="0.92679074869999989"/>
  </r>
  <r>
    <x v="450"/>
    <x v="0"/>
    <x v="4"/>
    <x v="1"/>
    <x v="2"/>
    <x v="0"/>
    <x v="17"/>
    <n v="7645.2"/>
    <n v="4203.6000000000004"/>
    <n v="3448.5"/>
    <n v="1809.6"/>
    <n v="23.669753570000001"/>
    <n v="5835.6"/>
    <n v="0.76330246430000004"/>
  </r>
  <r>
    <x v="451"/>
    <x v="1"/>
    <x v="0"/>
    <x v="0"/>
    <x v="1"/>
    <x v="0"/>
    <x v="21"/>
    <n v="7628.1"/>
    <n v="6657.6"/>
    <n v="974.8"/>
    <n v="3569"/>
    <n v="46.787535560000002"/>
    <n v="4059.1"/>
    <n v="0.53212464439999996"/>
  </r>
  <r>
    <x v="452"/>
    <x v="0"/>
    <x v="17"/>
    <x v="5"/>
    <x v="9"/>
    <x v="0"/>
    <x v="20"/>
    <n v="7618.8"/>
    <n v="5257.8"/>
    <n v="2361"/>
    <n v="2908.3"/>
    <n v="38.17267811"/>
    <n v="4710.5"/>
    <n v="0.61827321889999998"/>
  </r>
  <r>
    <x v="453"/>
    <x v="0"/>
    <x v="1"/>
    <x v="0"/>
    <x v="18"/>
    <x v="1"/>
    <x v="21"/>
    <n v="7612.3"/>
    <n v="7614.9"/>
    <n v="0"/>
    <n v="6849.1"/>
    <n v="89.974120830000004"/>
    <n v="763.2"/>
    <n v="0.1002587917"/>
  </r>
  <r>
    <x v="454"/>
    <x v="1"/>
    <x v="1"/>
    <x v="0"/>
    <x v="3"/>
    <x v="0"/>
    <x v="19"/>
    <n v="7608.2"/>
    <n v="3801.5"/>
    <n v="3806.7"/>
    <n v="2191.8000000000002"/>
    <n v="28.80839095"/>
    <n v="5416.4"/>
    <n v="0.71191609049999993"/>
  </r>
  <r>
    <x v="455"/>
    <x v="1"/>
    <x v="2"/>
    <x v="0"/>
    <x v="1"/>
    <x v="0"/>
    <x v="9"/>
    <n v="7596.7"/>
    <n v="3575.7"/>
    <n v="4021"/>
    <n v="2786.1"/>
    <n v="36.675135259999998"/>
    <n v="4810.6000000000004"/>
    <n v="0.63324864739999998"/>
  </r>
  <r>
    <x v="456"/>
    <x v="0"/>
    <x v="1"/>
    <x v="0"/>
    <x v="0"/>
    <x v="0"/>
    <x v="11"/>
    <n v="7589.1"/>
    <n v="6273.4"/>
    <n v="1315.7"/>
    <n v="5418.2"/>
    <n v="71.394500010000002"/>
    <n v="2170.9"/>
    <n v="0.2860549999"/>
  </r>
  <r>
    <x v="457"/>
    <x v="1"/>
    <x v="40"/>
    <x v="0"/>
    <x v="5"/>
    <x v="0"/>
    <x v="17"/>
    <n v="7552.8"/>
    <n v="5418.1"/>
    <n v="2144.1"/>
    <n v="4710"/>
    <n v="62.360978709999998"/>
    <n v="2842.8"/>
    <n v="0.37639021290000002"/>
  </r>
  <r>
    <x v="458"/>
    <x v="0"/>
    <x v="8"/>
    <x v="10"/>
    <x v="0"/>
    <x v="0"/>
    <x v="14"/>
    <n v="7550.3"/>
    <n v="6212.4"/>
    <n v="1334.7"/>
    <n v="1537.2"/>
    <n v="20.359455919999998"/>
    <n v="6013.1"/>
    <n v="0.79640544079999998"/>
  </r>
  <r>
    <x v="459"/>
    <x v="1"/>
    <x v="0"/>
    <x v="7"/>
    <x v="1"/>
    <x v="0"/>
    <x v="58"/>
    <n v="7543.1"/>
    <n v="7093.1"/>
    <n v="450"/>
    <n v="6268.7"/>
    <n v="83.105089419999999"/>
    <n v="1274.4000000000001"/>
    <n v="0.1689491058"/>
  </r>
  <r>
    <x v="460"/>
    <x v="0"/>
    <x v="0"/>
    <x v="0"/>
    <x v="5"/>
    <x v="0"/>
    <x v="54"/>
    <n v="7503.2"/>
    <n v="5958.2"/>
    <n v="1568.1"/>
    <n v="6592.7"/>
    <n v="87.865177520000003"/>
    <n v="910.5"/>
    <n v="0.1213482248"/>
  </r>
  <r>
    <x v="461"/>
    <x v="0"/>
    <x v="5"/>
    <x v="2"/>
    <x v="4"/>
    <x v="1"/>
    <x v="22"/>
    <n v="7486.2"/>
    <n v="7178.8"/>
    <n v="328.1"/>
    <n v="7290.2"/>
    <n v="97.381849270000004"/>
    <n v="196"/>
    <n v="2.6181507310000001E-2"/>
  </r>
  <r>
    <x v="462"/>
    <x v="0"/>
    <x v="1"/>
    <x v="0"/>
    <x v="6"/>
    <x v="0"/>
    <x v="17"/>
    <n v="7485.1"/>
    <n v="6757.7"/>
    <n v="735.7"/>
    <n v="6205.8"/>
    <n v="82.908711969999999"/>
    <n v="1279.3"/>
    <n v="0.17091288030000001"/>
  </r>
  <r>
    <x v="463"/>
    <x v="1"/>
    <x v="17"/>
    <x v="5"/>
    <x v="15"/>
    <x v="0"/>
    <x v="24"/>
    <n v="7467.3"/>
    <n v="7464.6"/>
    <n v="26"/>
    <n v="1330.8"/>
    <n v="17.82170262"/>
    <n v="6136.5"/>
    <n v="0.82178297379999998"/>
  </r>
  <r>
    <x v="464"/>
    <x v="0"/>
    <x v="1"/>
    <x v="0"/>
    <x v="1"/>
    <x v="1"/>
    <x v="14"/>
    <n v="7453.2"/>
    <n v="2524.9"/>
    <n v="4942.3999999999996"/>
    <n v="6424.3"/>
    <n v="86.19519133"/>
    <n v="1028.9000000000001"/>
    <n v="0.13804808669999999"/>
  </r>
  <r>
    <x v="465"/>
    <x v="0"/>
    <x v="1"/>
    <x v="0"/>
    <x v="11"/>
    <x v="0"/>
    <x v="60"/>
    <n v="7450.6"/>
    <n v="6491.8"/>
    <n v="961.4"/>
    <n v="5866.4"/>
    <n v="78.737282899999997"/>
    <n v="1584.2"/>
    <n v="0.212627171"/>
  </r>
  <r>
    <x v="466"/>
    <x v="0"/>
    <x v="1"/>
    <x v="0"/>
    <x v="0"/>
    <x v="0"/>
    <x v="11"/>
    <n v="7431.9"/>
    <n v="6391.9"/>
    <n v="1058.7"/>
    <n v="528.20000000000005"/>
    <n v="7.1072000429999997"/>
    <n v="6903.7"/>
    <n v="0.92892799960000005"/>
  </r>
  <r>
    <x v="467"/>
    <x v="0"/>
    <x v="1"/>
    <x v="0"/>
    <x v="11"/>
    <x v="0"/>
    <x v="6"/>
    <n v="7423.5"/>
    <n v="7117.2"/>
    <n v="319.89999999999998"/>
    <n v="6510.5"/>
    <n v="87.701219100000003"/>
    <n v="913"/>
    <n v="0.122987809"/>
  </r>
  <r>
    <x v="468"/>
    <x v="0"/>
    <x v="17"/>
    <x v="5"/>
    <x v="15"/>
    <x v="0"/>
    <x v="2"/>
    <n v="7416.8"/>
    <n v="4668.1000000000004"/>
    <n v="2767"/>
    <n v="4913.6000000000004"/>
    <n v="66.249595510000006"/>
    <n v="2503.1999999999998"/>
    <n v="0.33750404490000002"/>
  </r>
  <r>
    <x v="469"/>
    <x v="0"/>
    <x v="22"/>
    <x v="1"/>
    <x v="0"/>
    <x v="0"/>
    <x v="17"/>
    <n v="7405.6"/>
    <n v="6405.3"/>
    <n v="1014.5"/>
    <n v="639.20000000000005"/>
    <n v="8.631306039"/>
    <n v="6766.4"/>
    <n v="0.91368693960000003"/>
  </r>
  <r>
    <x v="470"/>
    <x v="1"/>
    <x v="17"/>
    <x v="5"/>
    <x v="15"/>
    <x v="1"/>
    <x v="1"/>
    <n v="7388.4"/>
    <n v="3471.7"/>
    <n v="3933.9"/>
    <n v="2317.8000000000002"/>
    <n v="31.370797469999999"/>
    <n v="5070.6000000000004"/>
    <n v="0.6862920253"/>
  </r>
  <r>
    <x v="471"/>
    <x v="0"/>
    <x v="17"/>
    <x v="5"/>
    <x v="9"/>
    <x v="0"/>
    <x v="7"/>
    <n v="7387.8"/>
    <n v="2807.5"/>
    <n v="4581"/>
    <n v="359.7"/>
    <n v="4.8688378139999999"/>
    <n v="7028.1"/>
    <n v="0.95131162189999996"/>
  </r>
  <r>
    <x v="472"/>
    <x v="0"/>
    <x v="22"/>
    <x v="1"/>
    <x v="0"/>
    <x v="0"/>
    <x v="26"/>
    <n v="7377.9"/>
    <n v="4274.5"/>
    <n v="3113.3"/>
    <n v="716.5"/>
    <n v="9.7114355030000006"/>
    <n v="6661.4"/>
    <n v="0.90288564500000001"/>
  </r>
  <r>
    <x v="473"/>
    <x v="0"/>
    <x v="2"/>
    <x v="0"/>
    <x v="1"/>
    <x v="0"/>
    <x v="9"/>
    <n v="7352.6"/>
    <n v="3894"/>
    <n v="3483.8"/>
    <n v="6069.3"/>
    <n v="82.546310149999996"/>
    <n v="1283.3"/>
    <n v="0.17453689850000001"/>
  </r>
  <r>
    <x v="474"/>
    <x v="2"/>
    <x v="1"/>
    <x v="0"/>
    <x v="0"/>
    <x v="1"/>
    <x v="2"/>
    <n v="7347.9"/>
    <n v="6711.8"/>
    <n v="643.70000000000005"/>
    <n v="114.9"/>
    <n v="1.563712081"/>
    <n v="7233"/>
    <n v="0.98436287919999998"/>
  </r>
  <r>
    <x v="475"/>
    <x v="0"/>
    <x v="1"/>
    <x v="0"/>
    <x v="11"/>
    <x v="0"/>
    <x v="9"/>
    <n v="7337.5"/>
    <n v="3928"/>
    <n v="3422.3"/>
    <n v="5340.9"/>
    <n v="72.789097100000006"/>
    <n v="1996.6"/>
    <n v="0.272109029"/>
  </r>
  <r>
    <x v="476"/>
    <x v="1"/>
    <x v="41"/>
    <x v="0"/>
    <x v="1"/>
    <x v="0"/>
    <x v="0"/>
    <n v="7335.2"/>
    <n v="6735.6"/>
    <n v="602"/>
    <n v="1341.8"/>
    <n v="18.292616420000002"/>
    <n v="5993.4"/>
    <n v="0.81707383580000004"/>
  </r>
  <r>
    <x v="477"/>
    <x v="0"/>
    <x v="1"/>
    <x v="0"/>
    <x v="18"/>
    <x v="1"/>
    <x v="11"/>
    <n v="7326.6"/>
    <n v="1671.1"/>
    <n v="5664.1"/>
    <n v="6816.6"/>
    <n v="93.039063139999996"/>
    <n v="510"/>
    <n v="6.9609368599999999E-2"/>
  </r>
  <r>
    <x v="478"/>
    <x v="0"/>
    <x v="1"/>
    <x v="0"/>
    <x v="11"/>
    <x v="0"/>
    <x v="14"/>
    <n v="7313.2"/>
    <n v="7318.3"/>
    <n v="8.3000000000000007"/>
    <n v="2901.6"/>
    <n v="39.676201939999999"/>
    <n v="4411.6000000000004"/>
    <n v="0.6032379806"/>
  </r>
  <r>
    <x v="479"/>
    <x v="1"/>
    <x v="42"/>
    <x v="0"/>
    <x v="1"/>
    <x v="0"/>
    <x v="22"/>
    <n v="7286.8"/>
    <n v="4703.7"/>
    <n v="2609.5"/>
    <n v="6083.2"/>
    <n v="83.482461439999994"/>
    <n v="1203.5999999999999"/>
    <n v="0.16517538559999997"/>
  </r>
  <r>
    <x v="480"/>
    <x v="0"/>
    <x v="17"/>
    <x v="5"/>
    <x v="9"/>
    <x v="1"/>
    <x v="19"/>
    <n v="7277.6"/>
    <n v="6836.9"/>
    <n v="455.9"/>
    <n v="3003"/>
    <n v="41.26360339"/>
    <n v="4274.6000000000004"/>
    <n v="0.58736396609999997"/>
  </r>
  <r>
    <x v="481"/>
    <x v="1"/>
    <x v="22"/>
    <x v="1"/>
    <x v="9"/>
    <x v="0"/>
    <x v="27"/>
    <n v="7256.2"/>
    <n v="2470.4"/>
    <n v="4785.8"/>
    <n v="976.1"/>
    <n v="13.45194454"/>
    <n v="6280.1"/>
    <n v="0.86548055459999995"/>
  </r>
  <r>
    <x v="482"/>
    <x v="0"/>
    <x v="1"/>
    <x v="0"/>
    <x v="0"/>
    <x v="0"/>
    <x v="9"/>
    <n v="7252.1"/>
    <n v="4583.7"/>
    <n v="2668.4"/>
    <n v="2499"/>
    <n v="34.458984289999997"/>
    <n v="4753.1000000000004"/>
    <n v="0.65541015709999995"/>
  </r>
  <r>
    <x v="483"/>
    <x v="1"/>
    <x v="32"/>
    <x v="8"/>
    <x v="1"/>
    <x v="0"/>
    <x v="15"/>
    <n v="7239.7"/>
    <n v="0"/>
    <n v="7239.7"/>
    <n v="0"/>
    <n v="0"/>
    <n v="7239.7"/>
    <n v="1"/>
  </r>
  <r>
    <x v="484"/>
    <x v="0"/>
    <x v="1"/>
    <x v="0"/>
    <x v="0"/>
    <x v="0"/>
    <x v="16"/>
    <n v="7237.6"/>
    <n v="0"/>
    <n v="7237.6"/>
    <n v="0"/>
    <n v="0"/>
    <n v="7237.6"/>
    <n v="1"/>
  </r>
  <r>
    <x v="485"/>
    <x v="0"/>
    <x v="23"/>
    <x v="1"/>
    <x v="0"/>
    <x v="0"/>
    <x v="26"/>
    <n v="7209.6"/>
    <n v="3303.8"/>
    <n v="3905.7"/>
    <n v="2183.8000000000002"/>
    <n v="30.290168659999999"/>
    <n v="5025.8"/>
    <n v="0.69709831339999995"/>
  </r>
  <r>
    <x v="486"/>
    <x v="0"/>
    <x v="2"/>
    <x v="0"/>
    <x v="1"/>
    <x v="0"/>
    <x v="19"/>
    <n v="7192.6"/>
    <n v="4689.2"/>
    <n v="2505.3000000000002"/>
    <n v="3982.2"/>
    <n v="55.365236490000001"/>
    <n v="3210.4"/>
    <n v="0.44634763509999997"/>
  </r>
  <r>
    <x v="487"/>
    <x v="0"/>
    <x v="5"/>
    <x v="2"/>
    <x v="4"/>
    <x v="1"/>
    <x v="27"/>
    <n v="7182.1"/>
    <n v="6877.5"/>
    <n v="304.7"/>
    <n v="6118.4"/>
    <n v="85.189568510000001"/>
    <n v="1063.7"/>
    <n v="0.14810431489999998"/>
  </r>
  <r>
    <x v="488"/>
    <x v="0"/>
    <x v="10"/>
    <x v="1"/>
    <x v="10"/>
    <x v="1"/>
    <x v="7"/>
    <n v="7123.4"/>
    <n v="5595.9"/>
    <n v="1527.5"/>
    <n v="3002"/>
    <n v="42.14279698"/>
    <n v="4121.3999999999996"/>
    <n v="0.57857203020000003"/>
  </r>
  <r>
    <x v="489"/>
    <x v="0"/>
    <x v="1"/>
    <x v="0"/>
    <x v="1"/>
    <x v="0"/>
    <x v="11"/>
    <n v="7114.1"/>
    <n v="4400.3"/>
    <n v="2716"/>
    <n v="3.9"/>
    <n v="5.4820708170000003E-2"/>
    <n v="7110.2"/>
    <n v="0.99945179289999997"/>
  </r>
  <r>
    <x v="490"/>
    <x v="0"/>
    <x v="1"/>
    <x v="0"/>
    <x v="0"/>
    <x v="0"/>
    <x v="8"/>
    <n v="7073.7"/>
    <n v="2882.3"/>
    <n v="4191.3999999999996"/>
    <n v="1158.3"/>
    <n v="16.37474023"/>
    <n v="5915.4"/>
    <n v="0.83625259770000004"/>
  </r>
  <r>
    <x v="491"/>
    <x v="0"/>
    <x v="1"/>
    <x v="0"/>
    <x v="0"/>
    <x v="0"/>
    <x v="17"/>
    <n v="7061.3"/>
    <n v="7067.3"/>
    <n v="0"/>
    <n v="4346.8"/>
    <n v="61.558070039999997"/>
    <n v="2714.5"/>
    <n v="0.38441929960000004"/>
  </r>
  <r>
    <x v="492"/>
    <x v="0"/>
    <x v="10"/>
    <x v="1"/>
    <x v="9"/>
    <x v="0"/>
    <x v="53"/>
    <n v="7059.2"/>
    <n v="6505.8"/>
    <n v="557.1"/>
    <n v="5676.3"/>
    <n v="80.409961469999999"/>
    <n v="1382.9"/>
    <n v="0.19590038530000001"/>
  </r>
  <r>
    <x v="493"/>
    <x v="0"/>
    <x v="10"/>
    <x v="1"/>
    <x v="9"/>
    <x v="1"/>
    <x v="55"/>
    <n v="7059.2"/>
    <n v="6607.2"/>
    <n v="446.9"/>
    <n v="7059.2"/>
    <n v="100"/>
    <n v="0"/>
    <n v="0"/>
  </r>
  <r>
    <x v="494"/>
    <x v="0"/>
    <x v="1"/>
    <x v="0"/>
    <x v="1"/>
    <x v="0"/>
    <x v="18"/>
    <n v="7048.5"/>
    <n v="6851.4"/>
    <n v="199.1"/>
    <n v="5805"/>
    <n v="82.357948500000006"/>
    <n v="1243.5"/>
    <n v="0.176420515"/>
  </r>
  <r>
    <x v="495"/>
    <x v="0"/>
    <x v="2"/>
    <x v="0"/>
    <x v="5"/>
    <x v="1"/>
    <x v="31"/>
    <n v="7034.1"/>
    <n v="7035"/>
    <n v="3.3"/>
    <n v="6940.1"/>
    <n v="98.663652780000007"/>
    <n v="94"/>
    <n v="1.3363472229999999E-2"/>
  </r>
  <r>
    <x v="496"/>
    <x v="2"/>
    <x v="1"/>
    <x v="0"/>
    <x v="1"/>
    <x v="1"/>
    <x v="17"/>
    <n v="7029.1"/>
    <n v="5774.4"/>
    <n v="1261.4000000000001"/>
    <n v="5705.9"/>
    <n v="81.175399409999997"/>
    <n v="1323.2"/>
    <n v="0.18824600589999999"/>
  </r>
  <r>
    <x v="497"/>
    <x v="0"/>
    <x v="1"/>
    <x v="0"/>
    <x v="22"/>
    <x v="1"/>
    <x v="15"/>
    <n v="7018.9"/>
    <n v="7018.4"/>
    <n v="5.4"/>
    <n v="6806"/>
    <n v="96.966761169999998"/>
    <n v="212.9"/>
    <n v="3.033238827E-2"/>
  </r>
  <r>
    <x v="498"/>
    <x v="0"/>
    <x v="1"/>
    <x v="0"/>
    <x v="18"/>
    <x v="1"/>
    <x v="37"/>
    <n v="6976.4"/>
    <n v="4188.3999999999996"/>
    <n v="2798.5"/>
    <n v="6414.9"/>
    <n v="91.951436270000002"/>
    <n v="561.5"/>
    <n v="8.0485637289999995E-2"/>
  </r>
  <r>
    <x v="499"/>
    <x v="0"/>
    <x v="1"/>
    <x v="1"/>
    <x v="2"/>
    <x v="0"/>
    <x v="17"/>
    <n v="6972"/>
    <n v="6956"/>
    <n v="20.3"/>
    <n v="1876.2"/>
    <n v="26.910499139999999"/>
    <n v="5095.8"/>
    <n v="0.7308950086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41E87F-4671-482D-A771-21C2EDA2C5AE}" name="total arti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4">
    <pivotField dataField="1" showAll="0"/>
    <pivotField showAll="0"/>
    <pivotField showAll="0"/>
    <pivotField showAll="0">
      <items count="12">
        <item h="1" x="0"/>
        <item h="1" x="7"/>
        <item h="1" x="4"/>
        <item h="1" x="3"/>
        <item h="1" x="8"/>
        <item h="1" x="2"/>
        <item h="1" x="5"/>
        <item x="10"/>
        <item h="1" x="1"/>
        <item h="1" x="6"/>
        <item h="1" x="9"/>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Artist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ADCCCE-6879-4368-B8A1-2F2C1BC2C51E}" name="avg stream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Total Streams (in millions)"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DC62A0-E8EB-4117-961E-BD34CCACBFEE}" name="Total stream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Total Streams (in million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E2F11C-3DCA-495A-B993-C5E900486448}" name="Collaborativ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4">
    <pivotField showAll="0">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 of Collaborative Streams" fld="13" subtotal="average" baseField="0" baseItem="0" numFmtId="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D8BE2A-82EA-4A80-9CC0-3C6D2DB7CBB1}" name="stream per artis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B502" firstHeaderRow="1" firstDataRow="1" firstDataCol="1"/>
  <pivotFields count="14">
    <pivotField axis="axisRow" showAll="0" sortType="descending">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0"/>
  </rowFields>
  <rowItems count="501">
    <i>
      <x v="138"/>
    </i>
    <i>
      <x v="434"/>
    </i>
    <i>
      <x v="47"/>
    </i>
    <i>
      <x v="452"/>
    </i>
    <i>
      <x v="226"/>
    </i>
    <i>
      <x v="37"/>
    </i>
    <i>
      <x v="465"/>
    </i>
    <i>
      <x v="231"/>
    </i>
    <i>
      <x v="142"/>
    </i>
    <i>
      <x v="148"/>
    </i>
    <i>
      <x v="395"/>
    </i>
    <i>
      <x v="60"/>
    </i>
    <i>
      <x v="76"/>
    </i>
    <i>
      <x v="237"/>
    </i>
    <i>
      <x v="377"/>
    </i>
    <i>
      <x v="192"/>
    </i>
    <i>
      <x v="167"/>
    </i>
    <i>
      <x v="81"/>
    </i>
    <i>
      <x v="360"/>
    </i>
    <i>
      <x v="107"/>
    </i>
    <i>
      <x v="220"/>
    </i>
    <i>
      <x v="100"/>
    </i>
    <i>
      <x v="343"/>
    </i>
    <i>
      <x v="251"/>
    </i>
    <i>
      <x v="120"/>
    </i>
    <i>
      <x v="139"/>
    </i>
    <i>
      <x v="112"/>
    </i>
    <i>
      <x v="387"/>
    </i>
    <i>
      <x v="34"/>
    </i>
    <i>
      <x v="486"/>
    </i>
    <i>
      <x v="190"/>
    </i>
    <i>
      <x v="266"/>
    </i>
    <i>
      <x v="3"/>
    </i>
    <i>
      <x v="428"/>
    </i>
    <i>
      <x v="38"/>
    </i>
    <i>
      <x v="250"/>
    </i>
    <i>
      <x v="233"/>
    </i>
    <i>
      <x v="259"/>
    </i>
    <i>
      <x v="302"/>
    </i>
    <i>
      <x v="240"/>
    </i>
    <i>
      <x v="57"/>
    </i>
    <i>
      <x v="293"/>
    </i>
    <i>
      <x v="154"/>
    </i>
    <i>
      <x v="86"/>
    </i>
    <i>
      <x v="330"/>
    </i>
    <i>
      <x v="269"/>
    </i>
    <i>
      <x v="367"/>
    </i>
    <i>
      <x v="193"/>
    </i>
    <i>
      <x v="265"/>
    </i>
    <i>
      <x v="418"/>
    </i>
    <i>
      <x v="133"/>
    </i>
    <i>
      <x v="415"/>
    </i>
    <i>
      <x v="326"/>
    </i>
    <i>
      <x v="491"/>
    </i>
    <i>
      <x v="153"/>
    </i>
    <i>
      <x v="416"/>
    </i>
    <i>
      <x v="187"/>
    </i>
    <i>
      <x v="381"/>
    </i>
    <i>
      <x v="407"/>
    </i>
    <i>
      <x v="356"/>
    </i>
    <i>
      <x v="313"/>
    </i>
    <i>
      <x v="354"/>
    </i>
    <i>
      <x v="15"/>
    </i>
    <i>
      <x v="379"/>
    </i>
    <i>
      <x v="234"/>
    </i>
    <i>
      <x v="181"/>
    </i>
    <i>
      <x v="36"/>
    </i>
    <i>
      <x v="166"/>
    </i>
    <i>
      <x v="225"/>
    </i>
    <i>
      <x v="473"/>
    </i>
    <i>
      <x v="412"/>
    </i>
    <i>
      <x v="471"/>
    </i>
    <i>
      <x v="437"/>
    </i>
    <i>
      <x v="372"/>
    </i>
    <i>
      <x v="345"/>
    </i>
    <i>
      <x v="374"/>
    </i>
    <i>
      <x v="185"/>
    </i>
    <i>
      <x v="484"/>
    </i>
    <i>
      <x v="316"/>
    </i>
    <i>
      <x v="405"/>
    </i>
    <i>
      <x v="163"/>
    </i>
    <i>
      <x v="124"/>
    </i>
    <i>
      <x v="194"/>
    </i>
    <i>
      <x v="10"/>
    </i>
    <i>
      <x v="319"/>
    </i>
    <i>
      <x v="438"/>
    </i>
    <i>
      <x v="303"/>
    </i>
    <i>
      <x v="90"/>
    </i>
    <i>
      <x v="469"/>
    </i>
    <i>
      <x v="128"/>
    </i>
    <i>
      <x v="35"/>
    </i>
    <i>
      <x v="389"/>
    </i>
    <i>
      <x v="87"/>
    </i>
    <i>
      <x v="1"/>
    </i>
    <i>
      <x v="357"/>
    </i>
    <i>
      <x v="43"/>
    </i>
    <i>
      <x v="125"/>
    </i>
    <i>
      <x v="421"/>
    </i>
    <i>
      <x v="400"/>
    </i>
    <i>
      <x v="6"/>
    </i>
    <i>
      <x v="331"/>
    </i>
    <i>
      <x v="492"/>
    </i>
    <i>
      <x v="286"/>
    </i>
    <i>
      <x v="111"/>
    </i>
    <i>
      <x v="136"/>
    </i>
    <i>
      <x v="494"/>
    </i>
    <i>
      <x v="247"/>
    </i>
    <i>
      <x v="411"/>
    </i>
    <i>
      <x v="444"/>
    </i>
    <i>
      <x v="380"/>
    </i>
    <i>
      <x v="188"/>
    </i>
    <i>
      <x v="282"/>
    </i>
    <i>
      <x v="146"/>
    </i>
    <i>
      <x v="296"/>
    </i>
    <i>
      <x v="466"/>
    </i>
    <i>
      <x v="433"/>
    </i>
    <i>
      <x v="262"/>
    </i>
    <i>
      <x v="312"/>
    </i>
    <i>
      <x v="135"/>
    </i>
    <i>
      <x v="476"/>
    </i>
    <i>
      <x v="96"/>
    </i>
    <i>
      <x v="228"/>
    </i>
    <i>
      <x v="455"/>
    </i>
    <i>
      <x v="409"/>
    </i>
    <i>
      <x v="472"/>
    </i>
    <i>
      <x v="229"/>
    </i>
    <i>
      <x v="244"/>
    </i>
    <i>
      <x v="199"/>
    </i>
    <i>
      <x v="65"/>
    </i>
    <i>
      <x v="206"/>
    </i>
    <i>
      <x v="52"/>
    </i>
    <i>
      <x v="113"/>
    </i>
    <i>
      <x v="279"/>
    </i>
    <i>
      <x v="123"/>
    </i>
    <i>
      <x v="17"/>
    </i>
    <i>
      <x v="14"/>
    </i>
    <i>
      <x v="410"/>
    </i>
    <i>
      <x v="89"/>
    </i>
    <i>
      <x v="18"/>
    </i>
    <i>
      <x v="9"/>
    </i>
    <i>
      <x v="158"/>
    </i>
    <i>
      <x v="189"/>
    </i>
    <i>
      <x v="145"/>
    </i>
    <i>
      <x v="383"/>
    </i>
    <i>
      <x v="59"/>
    </i>
    <i>
      <x v="159"/>
    </i>
    <i>
      <x v="361"/>
    </i>
    <i>
      <x v="347"/>
    </i>
    <i>
      <x v="376"/>
    </i>
    <i>
      <x v="74"/>
    </i>
    <i>
      <x v="197"/>
    </i>
    <i>
      <x v="462"/>
    </i>
    <i>
      <x v="368"/>
    </i>
    <i>
      <x v="132"/>
    </i>
    <i>
      <x v="115"/>
    </i>
    <i>
      <x v="63"/>
    </i>
    <i>
      <x v="426"/>
    </i>
    <i>
      <x v="417"/>
    </i>
    <i>
      <x v="140"/>
    </i>
    <i>
      <x v="62"/>
    </i>
    <i>
      <x v="317"/>
    </i>
    <i>
      <x v="440"/>
    </i>
    <i>
      <x v="297"/>
    </i>
    <i>
      <x v="32"/>
    </i>
    <i>
      <x v="175"/>
    </i>
    <i>
      <x v="260"/>
    </i>
    <i>
      <x v="375"/>
    </i>
    <i>
      <x v="11"/>
    </i>
    <i>
      <x v="169"/>
    </i>
    <i>
      <x v="242"/>
    </i>
    <i>
      <x v="227"/>
    </i>
    <i>
      <x v="68"/>
    </i>
    <i>
      <x v="424"/>
    </i>
    <i>
      <x v="31"/>
    </i>
    <i>
      <x v="339"/>
    </i>
    <i>
      <x v="180"/>
    </i>
    <i>
      <x v="401"/>
    </i>
    <i>
      <x v="95"/>
    </i>
    <i>
      <x v="214"/>
    </i>
    <i>
      <x v="152"/>
    </i>
    <i>
      <x v="364"/>
    </i>
    <i>
      <x v="217"/>
    </i>
    <i>
      <x v="352"/>
    </i>
    <i>
      <x v="362"/>
    </i>
    <i>
      <x v="431"/>
    </i>
    <i>
      <x v="382"/>
    </i>
    <i>
      <x v="325"/>
    </i>
    <i>
      <x v="495"/>
    </i>
    <i>
      <x v="459"/>
    </i>
    <i>
      <x/>
    </i>
    <i>
      <x v="4"/>
    </i>
    <i>
      <x v="173"/>
    </i>
    <i>
      <x v="258"/>
    </i>
    <i>
      <x v="177"/>
    </i>
    <i>
      <x v="88"/>
    </i>
    <i>
      <x v="257"/>
    </i>
    <i>
      <x v="2"/>
    </i>
    <i>
      <x v="340"/>
    </i>
    <i>
      <x v="79"/>
    </i>
    <i>
      <x v="391"/>
    </i>
    <i>
      <x v="399"/>
    </i>
    <i>
      <x v="182"/>
    </i>
    <i>
      <x v="300"/>
    </i>
    <i>
      <x v="349"/>
    </i>
    <i>
      <x v="309"/>
    </i>
    <i>
      <x v="102"/>
    </i>
    <i>
      <x v="72"/>
    </i>
    <i>
      <x v="304"/>
    </i>
    <i>
      <x v="48"/>
    </i>
    <i>
      <x v="370"/>
    </i>
    <i>
      <x v="314"/>
    </i>
    <i>
      <x v="483"/>
    </i>
    <i>
      <x v="137"/>
    </i>
    <i>
      <x v="323"/>
    </i>
    <i>
      <x v="104"/>
    </i>
    <i>
      <x v="99"/>
    </i>
    <i>
      <x v="482"/>
    </i>
    <i>
      <x v="292"/>
    </i>
    <i>
      <x v="212"/>
    </i>
    <i>
      <x v="318"/>
    </i>
    <i>
      <x v="261"/>
    </i>
    <i>
      <x v="427"/>
    </i>
    <i>
      <x v="271"/>
    </i>
    <i>
      <x v="13"/>
    </i>
    <i>
      <x v="53"/>
    </i>
    <i>
      <x v="487"/>
    </i>
    <i>
      <x v="150"/>
    </i>
    <i>
      <x v="267"/>
    </i>
    <i>
      <x v="280"/>
    </i>
    <i>
      <x v="499"/>
    </i>
    <i>
      <x v="5"/>
    </i>
    <i>
      <x v="195"/>
    </i>
    <i>
      <x v="470"/>
    </i>
    <i>
      <x v="12"/>
    </i>
    <i>
      <x v="40"/>
    </i>
    <i>
      <x v="496"/>
    </i>
    <i>
      <x v="315"/>
    </i>
    <i>
      <x v="287"/>
    </i>
    <i>
      <x v="33"/>
    </i>
    <i>
      <x v="448"/>
    </i>
    <i>
      <x v="164"/>
    </i>
    <i>
      <x v="397"/>
    </i>
    <i>
      <x v="78"/>
    </i>
    <i>
      <x v="183"/>
    </i>
    <i>
      <x v="144"/>
    </i>
    <i>
      <x v="176"/>
    </i>
    <i>
      <x v="27"/>
    </i>
    <i>
      <x v="24"/>
    </i>
    <i>
      <x v="238"/>
    </i>
    <i>
      <x v="254"/>
    </i>
    <i>
      <x v="289"/>
    </i>
    <i>
      <x v="390"/>
    </i>
    <i>
      <x v="211"/>
    </i>
    <i>
      <x v="310"/>
    </i>
    <i>
      <x v="263"/>
    </i>
    <i>
      <x v="272"/>
    </i>
    <i>
      <x v="307"/>
    </i>
    <i>
      <x v="101"/>
    </i>
    <i>
      <x v="165"/>
    </i>
    <i>
      <x v="311"/>
    </i>
    <i>
      <x v="147"/>
    </i>
    <i>
      <x v="394"/>
    </i>
    <i>
      <x v="110"/>
    </i>
    <i>
      <x v="497"/>
    </i>
    <i>
      <x v="363"/>
    </i>
    <i>
      <x v="93"/>
    </i>
    <i>
      <x v="346"/>
    </i>
    <i>
      <x v="64"/>
    </i>
    <i>
      <x v="109"/>
    </i>
    <i>
      <x v="464"/>
    </i>
    <i>
      <x v="224"/>
    </i>
    <i>
      <x v="419"/>
    </i>
    <i>
      <x v="130"/>
    </i>
    <i>
      <x v="485"/>
    </i>
    <i>
      <x v="351"/>
    </i>
    <i>
      <x v="103"/>
    </i>
    <i>
      <x v="420"/>
    </i>
    <i>
      <x v="191"/>
    </i>
    <i>
      <x v="270"/>
    </i>
    <i>
      <x v="50"/>
    </i>
    <i>
      <x v="445"/>
    </i>
    <i>
      <x v="321"/>
    </i>
    <i>
      <x v="430"/>
    </i>
    <i>
      <x v="493"/>
    </i>
    <i>
      <x v="386"/>
    </i>
    <i>
      <x v="249"/>
    </i>
    <i>
      <x v="98"/>
    </i>
    <i>
      <x v="117"/>
    </i>
    <i>
      <x v="70"/>
    </i>
    <i>
      <x v="441"/>
    </i>
    <i>
      <x v="67"/>
    </i>
    <i>
      <x v="425"/>
    </i>
    <i>
      <x v="207"/>
    </i>
    <i>
      <x v="235"/>
    </i>
    <i>
      <x v="106"/>
    </i>
    <i>
      <x v="119"/>
    </i>
    <i>
      <x v="474"/>
    </i>
    <i>
      <x v="42"/>
    </i>
    <i>
      <x v="162"/>
    </i>
    <i>
      <x v="436"/>
    </i>
    <i>
      <x v="299"/>
    </i>
    <i>
      <x v="373"/>
    </i>
    <i>
      <x v="422"/>
    </i>
    <i>
      <x v="121"/>
    </i>
    <i>
      <x v="467"/>
    </i>
    <i>
      <x v="108"/>
    </i>
    <i>
      <x v="277"/>
    </i>
    <i>
      <x v="82"/>
    </i>
    <i>
      <x v="116"/>
    </i>
    <i>
      <x v="308"/>
    </i>
    <i>
      <x v="329"/>
    </i>
    <i>
      <x v="21"/>
    </i>
    <i>
      <x v="479"/>
    </i>
    <i>
      <x v="365"/>
    </i>
    <i>
      <x v="248"/>
    </i>
    <i>
      <x v="488"/>
    </i>
    <i>
      <x v="305"/>
    </i>
    <i>
      <x v="26"/>
    </i>
    <i>
      <x v="73"/>
    </i>
    <i>
      <x v="92"/>
    </i>
    <i>
      <x v="255"/>
    </i>
    <i>
      <x v="285"/>
    </i>
    <i>
      <x v="56"/>
    </i>
    <i>
      <x v="114"/>
    </i>
    <i>
      <x v="342"/>
    </i>
    <i>
      <x v="298"/>
    </i>
    <i>
      <x v="295"/>
    </i>
    <i>
      <x v="256"/>
    </i>
    <i>
      <x v="284"/>
    </i>
    <i>
      <x v="161"/>
    </i>
    <i>
      <x v="278"/>
    </i>
    <i>
      <x v="388"/>
    </i>
    <i>
      <x v="337"/>
    </i>
    <i>
      <x v="174"/>
    </i>
    <i>
      <x v="457"/>
    </i>
    <i>
      <x v="204"/>
    </i>
    <i>
      <x v="442"/>
    </i>
    <i>
      <x v="358"/>
    </i>
    <i>
      <x v="30"/>
    </i>
    <i>
      <x v="97"/>
    </i>
    <i>
      <x v="223"/>
    </i>
    <i>
      <x v="378"/>
    </i>
    <i>
      <x v="49"/>
    </i>
    <i>
      <x v="414"/>
    </i>
    <i>
      <x v="160"/>
    </i>
    <i>
      <x v="489"/>
    </i>
    <i>
      <x v="20"/>
    </i>
    <i>
      <x v="264"/>
    </i>
    <i>
      <x v="171"/>
    </i>
    <i>
      <x v="61"/>
    </i>
    <i>
      <x v="281"/>
    </i>
    <i>
      <x v="328"/>
    </i>
    <i>
      <x v="215"/>
    </i>
    <i>
      <x v="435"/>
    </i>
    <i>
      <x v="219"/>
    </i>
    <i>
      <x v="203"/>
    </i>
    <i>
      <x v="91"/>
    </i>
    <i>
      <x v="429"/>
    </i>
    <i>
      <x v="168"/>
    </i>
    <i>
      <x v="143"/>
    </i>
    <i>
      <x v="25"/>
    </i>
    <i>
      <x v="66"/>
    </i>
    <i>
      <x v="333"/>
    </i>
    <i>
      <x v="75"/>
    </i>
    <i>
      <x v="23"/>
    </i>
    <i>
      <x v="216"/>
    </i>
    <i>
      <x v="186"/>
    </i>
    <i>
      <x v="222"/>
    </i>
    <i>
      <x v="122"/>
    </i>
    <i>
      <x v="105"/>
    </i>
    <i>
      <x v="481"/>
    </i>
    <i>
      <x v="463"/>
    </i>
    <i>
      <x v="131"/>
    </i>
    <i>
      <x v="28"/>
    </i>
    <i>
      <x v="468"/>
    </i>
    <i>
      <x v="432"/>
    </i>
    <i>
      <x v="118"/>
    </i>
    <i>
      <x v="44"/>
    </i>
    <i>
      <x v="275"/>
    </i>
    <i>
      <x v="243"/>
    </i>
    <i>
      <x v="210"/>
    </i>
    <i>
      <x v="19"/>
    </i>
    <i>
      <x v="172"/>
    </i>
    <i>
      <x v="406"/>
    </i>
    <i>
      <x v="156"/>
    </i>
    <i>
      <x v="334"/>
    </i>
    <i>
      <x v="196"/>
    </i>
    <i>
      <x v="413"/>
    </i>
    <i>
      <x v="449"/>
    </i>
    <i>
      <x v="458"/>
    </i>
    <i>
      <x v="46"/>
    </i>
    <i>
      <x v="209"/>
    </i>
    <i>
      <x v="294"/>
    </i>
    <i>
      <x v="348"/>
    </i>
    <i>
      <x v="170"/>
    </i>
    <i>
      <x v="84"/>
    </i>
    <i>
      <x v="94"/>
    </i>
    <i>
      <x v="423"/>
    </i>
    <i>
      <x v="221"/>
    </i>
    <i>
      <x v="301"/>
    </i>
    <i>
      <x v="236"/>
    </i>
    <i>
      <x v="446"/>
    </i>
    <i>
      <x v="71"/>
    </i>
    <i>
      <x v="58"/>
    </i>
    <i>
      <x v="320"/>
    </i>
    <i>
      <x v="201"/>
    </i>
    <i>
      <x v="155"/>
    </i>
    <i>
      <x v="341"/>
    </i>
    <i>
      <x v="7"/>
    </i>
    <i>
      <x v="332"/>
    </i>
    <i>
      <x v="350"/>
    </i>
    <i>
      <x v="478"/>
    </i>
    <i>
      <x v="454"/>
    </i>
    <i>
      <x v="16"/>
    </i>
    <i>
      <x v="54"/>
    </i>
    <i>
      <x v="475"/>
    </i>
    <i>
      <x v="371"/>
    </i>
    <i>
      <x v="398"/>
    </i>
    <i>
      <x v="477"/>
    </i>
    <i>
      <x v="69"/>
    </i>
    <i>
      <x v="151"/>
    </i>
    <i>
      <x v="202"/>
    </i>
    <i>
      <x v="402"/>
    </i>
    <i>
      <x v="384"/>
    </i>
    <i>
      <x v="205"/>
    </i>
    <i>
      <x v="450"/>
    </i>
    <i>
      <x v="141"/>
    </i>
    <i>
      <x v="447"/>
    </i>
    <i>
      <x v="369"/>
    </i>
    <i>
      <x v="451"/>
    </i>
    <i>
      <x v="39"/>
    </i>
    <i>
      <x v="359"/>
    </i>
    <i>
      <x v="353"/>
    </i>
    <i>
      <x v="126"/>
    </i>
    <i>
      <x v="338"/>
    </i>
    <i>
      <x v="41"/>
    </i>
    <i>
      <x v="393"/>
    </i>
    <i>
      <x v="273"/>
    </i>
    <i>
      <x v="392"/>
    </i>
    <i>
      <x v="408"/>
    </i>
    <i>
      <x v="8"/>
    </i>
    <i>
      <x v="127"/>
    </i>
    <i>
      <x v="80"/>
    </i>
    <i>
      <x v="22"/>
    </i>
    <i>
      <x v="385"/>
    </i>
    <i>
      <x v="335"/>
    </i>
    <i>
      <x v="327"/>
    </i>
    <i>
      <x v="246"/>
    </i>
    <i>
      <x v="366"/>
    </i>
    <i>
      <x v="498"/>
    </i>
    <i>
      <x v="403"/>
    </i>
    <i>
      <x v="336"/>
    </i>
    <i>
      <x v="480"/>
    </i>
    <i>
      <x v="129"/>
    </i>
    <i>
      <x v="184"/>
    </i>
    <i>
      <x v="396"/>
    </i>
    <i>
      <x v="239"/>
    </i>
    <i>
      <x v="51"/>
    </i>
    <i>
      <x v="232"/>
    </i>
    <i>
      <x v="83"/>
    </i>
    <i>
      <x v="77"/>
    </i>
    <i>
      <x v="149"/>
    </i>
    <i>
      <x v="134"/>
    </i>
    <i>
      <x v="29"/>
    </i>
    <i>
      <x v="252"/>
    </i>
    <i>
      <x v="213"/>
    </i>
    <i>
      <x v="45"/>
    </i>
    <i>
      <x v="198"/>
    </i>
    <i>
      <x v="276"/>
    </i>
    <i>
      <x v="241"/>
    </i>
    <i>
      <x v="291"/>
    </i>
    <i>
      <x v="306"/>
    </i>
    <i>
      <x v="456"/>
    </i>
    <i>
      <x v="460"/>
    </i>
    <i>
      <x v="288"/>
    </i>
    <i>
      <x v="453"/>
    </i>
    <i>
      <x v="283"/>
    </i>
    <i>
      <x v="157"/>
    </i>
    <i>
      <x v="230"/>
    </i>
    <i>
      <x v="253"/>
    </i>
    <i>
      <x v="179"/>
    </i>
    <i>
      <x v="344"/>
    </i>
    <i>
      <x v="322"/>
    </i>
    <i>
      <x v="290"/>
    </i>
    <i>
      <x v="404"/>
    </i>
    <i>
      <x v="324"/>
    </i>
    <i>
      <x v="85"/>
    </i>
    <i>
      <x v="461"/>
    </i>
    <i>
      <x v="178"/>
    </i>
    <i>
      <x v="55"/>
    </i>
    <i>
      <x v="208"/>
    </i>
    <i>
      <x v="490"/>
    </i>
    <i>
      <x v="218"/>
    </i>
    <i>
      <x v="274"/>
    </i>
    <i>
      <x v="200"/>
    </i>
    <i>
      <x v="439"/>
    </i>
    <i>
      <x v="443"/>
    </i>
    <i>
      <x v="268"/>
    </i>
    <i>
      <x v="245"/>
    </i>
    <i>
      <x v="355"/>
    </i>
    <i t="grand">
      <x/>
    </i>
  </rowItems>
  <colItems count="1">
    <i/>
  </colItems>
  <dataFields count="1">
    <dataField name="Max of Total Streams (in millions)" fld="7"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D76144-9538-42E1-8853-86985D590CE0}" name="stream per genr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GENRE">
  <location ref="A1:B25" firstHeaderRow="1" firstDataRow="1" firstDataCol="1"/>
  <pivotFields count="14">
    <pivotField showAll="0"/>
    <pivotField showAll="0"/>
    <pivotField showAll="0"/>
    <pivotField showAll="0"/>
    <pivotField axis="axisRow" showAll="0" sortType="ascending">
      <items count="24">
        <item x="19"/>
        <item x="6"/>
        <item x="14"/>
        <item x="21"/>
        <item x="11"/>
        <item x="7"/>
        <item x="8"/>
        <item x="17"/>
        <item x="0"/>
        <item x="4"/>
        <item x="9"/>
        <item x="18"/>
        <item x="22"/>
        <item x="1"/>
        <item x="3"/>
        <item x="16"/>
        <item x="2"/>
        <item x="10"/>
        <item x="5"/>
        <item x="15"/>
        <item x="20"/>
        <item x="13"/>
        <item x="12"/>
        <item t="default"/>
      </items>
    </pivotField>
    <pivotField showAll="0"/>
    <pivotField showAll="0"/>
    <pivotField dataField="1" showAll="0"/>
    <pivotField showAll="0"/>
    <pivotField showAll="0"/>
    <pivotField showAll="0"/>
    <pivotField showAll="0"/>
    <pivotField showAll="0"/>
    <pivotField showAll="0"/>
  </pivotFields>
  <rowFields count="1">
    <field x="4"/>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Total Streams (in millions)" fld="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F1BB52-D268-425C-B86B-AF34ABB3DC57}" name="top 10 artis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1:B12" firstHeaderRow="1" firstDataRow="1" firstDataCol="1"/>
  <pivotFields count="14">
    <pivotField axis="axisRow" showAll="0" measureFilter="1" sortType="descending">
      <items count="501">
        <item x="229"/>
        <item x="449"/>
        <item x="263"/>
        <item x="235"/>
        <item x="187"/>
        <item x="105"/>
        <item x="283"/>
        <item x="101"/>
        <item x="53"/>
        <item x="491"/>
        <item x="345"/>
        <item x="315"/>
        <item x="225"/>
        <item x="29"/>
        <item x="273"/>
        <item x="77"/>
        <item x="211"/>
        <item x="216"/>
        <item x="370"/>
        <item x="452"/>
        <item x="312"/>
        <item x="411"/>
        <item x="418"/>
        <item x="119"/>
        <item x="415"/>
        <item x="296"/>
        <item x="69"/>
        <item x="124"/>
        <item x="71"/>
        <item x="232"/>
        <item x="88"/>
        <item x="374"/>
        <item x="304"/>
        <item x="114"/>
        <item x="6"/>
        <item x="269"/>
        <item x="371"/>
        <item x="151"/>
        <item x="487"/>
        <item x="473"/>
        <item x="188"/>
        <item x="389"/>
        <item x="334"/>
        <item x="472"/>
        <item x="122"/>
        <item x="412"/>
        <item x="475"/>
        <item x="3"/>
        <item x="429"/>
        <item x="425"/>
        <item x="388"/>
        <item x="239"/>
        <item x="427"/>
        <item x="401"/>
        <item x="280"/>
        <item x="108"/>
        <item x="496"/>
        <item x="336"/>
        <item x="289"/>
        <item x="161"/>
        <item x="495"/>
        <item x="85"/>
        <item x="72"/>
        <item x="299"/>
        <item x="353"/>
        <item x="1"/>
        <item x="115"/>
        <item x="375"/>
        <item x="184"/>
        <item x="282"/>
        <item x="357"/>
        <item x="33"/>
        <item x="221"/>
        <item x="156"/>
        <item x="291"/>
        <item x="172"/>
        <item x="397"/>
        <item x="302"/>
        <item x="97"/>
        <item x="276"/>
        <item x="271"/>
        <item x="49"/>
        <item x="157"/>
        <item x="55"/>
        <item x="51"/>
        <item x="343"/>
        <item x="387"/>
        <item x="70"/>
        <item x="107"/>
        <item x="136"/>
        <item x="123"/>
        <item x="439"/>
        <item x="58"/>
        <item x="383"/>
        <item x="79"/>
        <item x="484"/>
        <item x="450"/>
        <item x="422"/>
        <item x="176"/>
        <item x="98"/>
        <item x="200"/>
        <item x="417"/>
        <item x="241"/>
        <item x="455"/>
        <item x="10"/>
        <item x="261"/>
        <item x="436"/>
        <item x="438"/>
        <item x="199"/>
        <item x="251"/>
        <item x="91"/>
        <item x="331"/>
        <item x="27"/>
        <item x="284"/>
        <item x="444"/>
        <item x="423"/>
        <item x="143"/>
        <item x="185"/>
        <item x="57"/>
        <item x="109"/>
        <item x="63"/>
        <item x="341"/>
        <item x="14"/>
        <item x="148"/>
        <item x="166"/>
        <item x="75"/>
        <item x="301"/>
        <item x="73"/>
        <item x="416"/>
        <item x="209"/>
        <item x="428"/>
        <item x="152"/>
        <item x="46"/>
        <item x="448"/>
        <item x="313"/>
        <item x="180"/>
        <item x="264"/>
        <item x="183"/>
        <item x="146"/>
        <item x="18"/>
        <item x="431"/>
        <item x="337"/>
        <item x="94"/>
        <item x="59"/>
        <item x="499"/>
        <item x="61"/>
        <item x="432"/>
        <item x="182"/>
        <item x="274"/>
        <item x="410"/>
        <item x="203"/>
        <item x="393"/>
        <item x="147"/>
        <item x="266"/>
        <item x="74"/>
        <item x="481"/>
        <item x="22"/>
        <item x="324"/>
        <item x="407"/>
        <item x="197"/>
        <item x="174"/>
        <item x="434"/>
        <item x="332"/>
        <item x="451"/>
        <item x="445"/>
        <item x="385"/>
        <item x="362"/>
        <item x="409"/>
        <item x="100"/>
        <item x="44"/>
        <item x="310"/>
        <item x="351"/>
        <item x="446"/>
        <item x="52"/>
        <item x="186"/>
        <item x="485"/>
        <item x="213"/>
        <item x="482"/>
        <item x="281"/>
        <item x="404"/>
        <item x="84"/>
        <item x="219"/>
        <item x="160"/>
        <item x="78"/>
        <item x="236"/>
        <item x="210"/>
        <item x="60"/>
        <item x="117"/>
        <item x="259"/>
        <item x="253"/>
        <item x="204"/>
        <item x="309"/>
        <item x="256"/>
        <item x="471"/>
        <item x="316"/>
        <item x="207"/>
        <item x="86"/>
        <item x="38"/>
        <item x="399"/>
        <item x="202"/>
        <item x="300"/>
        <item x="325"/>
        <item x="162"/>
        <item x="113"/>
        <item x="326"/>
        <item x="392"/>
        <item x="41"/>
        <item x="217"/>
        <item x="470"/>
        <item x="483"/>
        <item x="250"/>
        <item x="474"/>
        <item x="237"/>
        <item x="102"/>
        <item x="321"/>
        <item x="328"/>
        <item x="476"/>
        <item x="111"/>
        <item x="350"/>
        <item x="228"/>
        <item x="132"/>
        <item x="330"/>
        <item x="306"/>
        <item x="468"/>
        <item x="378"/>
        <item x="493"/>
        <item x="437"/>
        <item x="255"/>
        <item x="222"/>
        <item x="278"/>
        <item x="45"/>
        <item x="497"/>
        <item x="227"/>
        <item x="31"/>
        <item x="48"/>
        <item x="347"/>
        <item x="254"/>
        <item x="116"/>
        <item x="220"/>
        <item x="165"/>
        <item x="37"/>
        <item x="192"/>
        <item x="195"/>
        <item x="327"/>
        <item x="320"/>
        <item x="249"/>
        <item x="479"/>
        <item x="464"/>
        <item x="23"/>
        <item x="35"/>
        <item x="285"/>
        <item x="314"/>
        <item x="106"/>
        <item x="447"/>
        <item x="498"/>
        <item x="126"/>
        <item x="379"/>
        <item x="169"/>
        <item x="469"/>
        <item x="39"/>
        <item x="456"/>
        <item x="248"/>
        <item x="13"/>
        <item x="400"/>
        <item x="293"/>
        <item x="64"/>
        <item x="36"/>
        <item x="458"/>
        <item x="7"/>
        <item x="478"/>
        <item x="125"/>
        <item x="121"/>
        <item x="170"/>
        <item x="4"/>
        <item x="68"/>
        <item x="270"/>
        <item x="340"/>
        <item x="367"/>
        <item x="398"/>
        <item x="20"/>
        <item x="354"/>
        <item x="492"/>
        <item x="181"/>
        <item x="365"/>
        <item x="352"/>
        <item x="178"/>
        <item x="465"/>
        <item x="218"/>
        <item x="252"/>
        <item x="380"/>
        <item x="391"/>
        <item x="490"/>
        <item x="292"/>
        <item x="129"/>
        <item x="424"/>
        <item x="335"/>
        <item x="355"/>
        <item x="421"/>
        <item x="405"/>
        <item x="494"/>
        <item x="127"/>
        <item x="467"/>
        <item x="150"/>
        <item x="386"/>
        <item x="231"/>
        <item x="82"/>
        <item x="47"/>
        <item x="15"/>
        <item x="277"/>
        <item x="30"/>
        <item x="141"/>
        <item x="110"/>
        <item x="56"/>
        <item x="366"/>
        <item x="76"/>
        <item x="454"/>
        <item x="243"/>
        <item x="201"/>
        <item x="65"/>
        <item x="175"/>
        <item x="480"/>
        <item x="488"/>
        <item x="193"/>
        <item x="245"/>
        <item x="164"/>
        <item x="333"/>
        <item x="191"/>
        <item x="382"/>
        <item x="348"/>
        <item x="394"/>
        <item x="168"/>
        <item x="358"/>
        <item x="16"/>
        <item x="67"/>
        <item x="258"/>
        <item x="240"/>
        <item x="80"/>
        <item x="298"/>
        <item x="329"/>
        <item x="344"/>
        <item x="145"/>
        <item x="140"/>
        <item x="477"/>
        <item x="384"/>
        <item x="406"/>
        <item x="42"/>
        <item x="54"/>
        <item x="179"/>
        <item x="420"/>
        <item x="226"/>
        <item x="461"/>
        <item x="9"/>
        <item x="260"/>
        <item x="112"/>
        <item x="142"/>
        <item x="244"/>
        <item x="359"/>
        <item x="8"/>
        <item x="426"/>
        <item x="158"/>
        <item x="25"/>
        <item x="0"/>
        <item x="212"/>
        <item x="104"/>
        <item x="118"/>
        <item x="462"/>
        <item x="50"/>
        <item x="153"/>
        <item x="372"/>
        <item x="272"/>
        <item x="453"/>
        <item x="89"/>
        <item x="441"/>
        <item x="433"/>
        <item x="96"/>
        <item x="81"/>
        <item x="133"/>
        <item x="368"/>
        <item x="303"/>
        <item x="24"/>
        <item x="295"/>
        <item x="376"/>
        <item x="287"/>
        <item x="308"/>
        <item x="154"/>
        <item x="323"/>
        <item x="131"/>
        <item x="26"/>
        <item x="103"/>
        <item x="262"/>
        <item x="268"/>
        <item x="305"/>
        <item x="19"/>
        <item x="294"/>
        <item x="369"/>
        <item x="214"/>
        <item x="275"/>
        <item x="205"/>
        <item x="257"/>
        <item x="21"/>
        <item x="215"/>
        <item x="286"/>
        <item x="339"/>
        <item x="120"/>
        <item x="177"/>
        <item x="396"/>
        <item x="265"/>
        <item x="319"/>
        <item x="356"/>
        <item x="87"/>
        <item x="137"/>
        <item x="194"/>
        <item x="92"/>
        <item x="43"/>
        <item x="486"/>
        <item x="395"/>
        <item x="459"/>
        <item x="307"/>
        <item x="17"/>
        <item x="442"/>
        <item x="198"/>
        <item x="242"/>
        <item x="460"/>
        <item x="12"/>
        <item x="363"/>
        <item x="149"/>
        <item x="318"/>
        <item x="206"/>
        <item x="402"/>
        <item x="288"/>
        <item x="419"/>
        <item x="171"/>
        <item x="290"/>
        <item x="361"/>
        <item x="128"/>
        <item x="267"/>
        <item x="155"/>
        <item x="159"/>
        <item x="349"/>
        <item x="11"/>
        <item x="144"/>
        <item x="403"/>
        <item x="40"/>
        <item x="322"/>
        <item x="489"/>
        <item x="414"/>
        <item x="224"/>
        <item x="130"/>
        <item x="457"/>
        <item x="279"/>
        <item x="342"/>
        <item x="208"/>
        <item x="2"/>
        <item x="390"/>
        <item x="466"/>
        <item x="377"/>
        <item x="95"/>
        <item x="297"/>
        <item x="435"/>
        <item x="234"/>
        <item x="430"/>
        <item x="34"/>
        <item x="5"/>
        <item x="66"/>
        <item x="90"/>
        <item x="28"/>
        <item x="238"/>
        <item x="163"/>
        <item x="173"/>
        <item x="338"/>
        <item x="463"/>
        <item x="373"/>
        <item x="246"/>
        <item x="317"/>
        <item x="360"/>
        <item x="247"/>
        <item x="364"/>
        <item x="443"/>
        <item x="311"/>
        <item x="346"/>
        <item x="381"/>
        <item x="138"/>
        <item x="134"/>
        <item x="413"/>
        <item x="62"/>
        <item x="135"/>
        <item x="223"/>
        <item x="233"/>
        <item x="167"/>
        <item x="83"/>
        <item x="139"/>
        <item x="440"/>
        <item x="408"/>
        <item x="99"/>
        <item x="230"/>
        <item x="190"/>
        <item x="32"/>
        <item x="196"/>
        <item x="93"/>
        <item x="189"/>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showAll="0">
      <items count="12">
        <item x="0"/>
        <item x="7"/>
        <item x="4"/>
        <item x="3"/>
        <item x="8"/>
        <item x="2"/>
        <item x="5"/>
        <item x="10"/>
        <item x="1"/>
        <item x="6"/>
        <item x="9"/>
        <item t="default"/>
      </items>
    </pivotField>
    <pivotField showAll="0">
      <items count="24">
        <item x="19"/>
        <item x="6"/>
        <item x="14"/>
        <item x="21"/>
        <item x="11"/>
        <item x="7"/>
        <item x="8"/>
        <item x="17"/>
        <item x="0"/>
        <item x="4"/>
        <item x="9"/>
        <item x="18"/>
        <item x="22"/>
        <item x="1"/>
        <item x="3"/>
        <item x="16"/>
        <item x="2"/>
        <item x="10"/>
        <item x="5"/>
        <item x="15"/>
        <item x="20"/>
        <item x="13"/>
        <item x="12"/>
        <item t="default"/>
      </items>
    </pivotField>
    <pivotField showAll="0">
      <items count="3">
        <item x="1"/>
        <item x="0"/>
        <item t="default"/>
      </items>
    </pivotField>
    <pivotField showAll="0"/>
    <pivotField dataField="1" showAll="0"/>
    <pivotField showAll="0"/>
    <pivotField showAll="0"/>
    <pivotField showAll="0"/>
    <pivotField showAll="0"/>
    <pivotField showAll="0"/>
    <pivotField showAll="0"/>
  </pivotFields>
  <rowFields count="1">
    <field x="0"/>
  </rowFields>
  <rowItems count="11">
    <i>
      <x v="361"/>
    </i>
    <i>
      <x v="65"/>
    </i>
    <i>
      <x v="452"/>
    </i>
    <i>
      <x v="47"/>
    </i>
    <i>
      <x v="273"/>
    </i>
    <i>
      <x v="462"/>
    </i>
    <i>
      <x v="34"/>
    </i>
    <i>
      <x v="268"/>
    </i>
    <i>
      <x v="357"/>
    </i>
    <i>
      <x v="351"/>
    </i>
    <i t="grand">
      <x/>
    </i>
  </rowItems>
  <colItems count="1">
    <i/>
  </colItems>
  <dataFields count="1">
    <dataField name="Max of Total Streams (in millions)" fld="7" subtotal="max" baseField="0" baseItem="0"/>
  </dataFields>
  <chartFormats count="4">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2E1900-CFB4-4BAE-9941-DB5B9C7E667A}" name="stream per country"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3">
  <location ref="A1:B45" firstHeaderRow="1" firstDataRow="1" firstDataCol="1"/>
  <pivotFields count="14">
    <pivotField showAll="0"/>
    <pivotField showAll="0"/>
    <pivotField axis="axisRow" showAll="0" sortType="descending">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44">
    <i>
      <x v="41"/>
    </i>
    <i>
      <x v="40"/>
    </i>
    <i>
      <x v="6"/>
    </i>
    <i>
      <x v="22"/>
    </i>
    <i>
      <x v="8"/>
    </i>
    <i>
      <x v="17"/>
    </i>
    <i>
      <x v="5"/>
    </i>
    <i>
      <x v="36"/>
    </i>
    <i>
      <x v="1"/>
    </i>
    <i>
      <x v="13"/>
    </i>
    <i>
      <x/>
    </i>
    <i>
      <x v="14"/>
    </i>
    <i>
      <x v="37"/>
    </i>
    <i>
      <x v="38"/>
    </i>
    <i>
      <x v="3"/>
    </i>
    <i>
      <x v="33"/>
    </i>
    <i>
      <x v="18"/>
    </i>
    <i>
      <x v="39"/>
    </i>
    <i>
      <x v="28"/>
    </i>
    <i>
      <x v="20"/>
    </i>
    <i>
      <x v="25"/>
    </i>
    <i>
      <x v="19"/>
    </i>
    <i>
      <x v="21"/>
    </i>
    <i>
      <x v="9"/>
    </i>
    <i>
      <x v="27"/>
    </i>
    <i>
      <x v="30"/>
    </i>
    <i>
      <x v="11"/>
    </i>
    <i>
      <x v="34"/>
    </i>
    <i>
      <x v="26"/>
    </i>
    <i>
      <x v="23"/>
    </i>
    <i>
      <x v="7"/>
    </i>
    <i>
      <x v="32"/>
    </i>
    <i>
      <x v="35"/>
    </i>
    <i>
      <x v="42"/>
    </i>
    <i>
      <x v="4"/>
    </i>
    <i>
      <x v="12"/>
    </i>
    <i>
      <x v="24"/>
    </i>
    <i>
      <x v="29"/>
    </i>
    <i>
      <x v="15"/>
    </i>
    <i>
      <x v="2"/>
    </i>
    <i>
      <x v="31"/>
    </i>
    <i>
      <x v="10"/>
    </i>
    <i>
      <x v="16"/>
    </i>
    <i t="grand">
      <x/>
    </i>
  </rowItems>
  <colItems count="1">
    <i/>
  </colItems>
  <dataFields count="1">
    <dataField name="Sum of Total Streams (in millions)" fld="7" baseField="0" baseItem="0"/>
  </dataFields>
  <chartFormats count="2">
    <chartFormat chart="23"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222C15-A456-4E1D-B91A-14B10853C0C3}" name="genre group solo"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rowHeaderCaption="Genre">
  <location ref="E3:H28" firstHeaderRow="1" firstDataRow="2" firstDataCol="1"/>
  <pivotFields count="14">
    <pivotField showAll="0"/>
    <pivotField showAll="0">
      <items count="4">
        <item x="1"/>
        <item x="0"/>
        <item x="2"/>
        <item t="default"/>
      </items>
    </pivotField>
    <pivotField showAll="0">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showAll="0"/>
    <pivotField axis="axisRow" showAll="0">
      <items count="24">
        <item x="19"/>
        <item x="6"/>
        <item x="14"/>
        <item x="21"/>
        <item x="11"/>
        <item x="7"/>
        <item x="8"/>
        <item x="17"/>
        <item x="0"/>
        <item x="4"/>
        <item x="9"/>
        <item x="18"/>
        <item x="22"/>
        <item x="1"/>
        <item x="3"/>
        <item x="16"/>
        <item x="2"/>
        <item x="10"/>
        <item x="5"/>
        <item x="15"/>
        <item x="20"/>
        <item x="13"/>
        <item x="12"/>
        <item t="default"/>
      </items>
    </pivotField>
    <pivotField axis="axisCol" showAll="0">
      <items count="3">
        <item x="1"/>
        <item x="0"/>
        <item t="default"/>
      </items>
    </pivotField>
    <pivotField showAll="0"/>
    <pivotField dataField="1" showAll="0"/>
    <pivotField showAll="0"/>
    <pivotField showAll="0"/>
    <pivotField showAll="0"/>
    <pivotField showAll="0"/>
    <pivotField showAll="0"/>
    <pivotField showAll="0"/>
  </pivotFields>
  <rowFields count="1">
    <field x="4"/>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5"/>
  </colFields>
  <colItems count="3">
    <i>
      <x/>
    </i>
    <i>
      <x v="1"/>
    </i>
    <i t="grand">
      <x/>
    </i>
  </colItems>
  <dataFields count="1">
    <dataField name="Sum of Total Streams (in million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3F30F5-1428-4566-AE63-1E911150890C}" name="group vs solo"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3:C6" firstHeaderRow="1" firstDataRow="1" firstDataCol="1"/>
  <pivotFields count="14">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Sum of Total Streams (in millions)" fld="7" baseField="0" baseItem="0"/>
  </dataFields>
  <chartFormats count="6">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5" count="1" selected="0">
            <x v="0"/>
          </reference>
        </references>
      </pivotArea>
    </chartFormat>
    <chartFormat chart="18" format="8">
      <pivotArea type="data" outline="0" fieldPosition="0">
        <references count="2">
          <reference field="4294967294" count="1" selected="0">
            <x v="0"/>
          </reference>
          <reference field="5" count="1" selected="0">
            <x v="1"/>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5" count="1" selected="0">
            <x v="0"/>
          </reference>
        </references>
      </pivotArea>
    </chartFormat>
    <chartFormat chart="21" format="1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93799E-B2BE-471F-9731-0A860D9BB75C}" name="artist debut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D20:E521" firstHeaderRow="1" firstDataRow="1" firstDataCol="1"/>
  <pivotFields count="14">
    <pivotField axis="axisRow" showAll="0">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pivotField showAll="0"/>
    <pivotField showAll="0"/>
    <pivotField showAll="0"/>
    <pivotField showAll="0">
      <items count="3">
        <item h="1" x="1"/>
        <item x="0"/>
        <item t="default"/>
      </items>
    </pivotField>
    <pivotField dataField="1" showAll="0">
      <items count="62">
        <item x="48"/>
        <item x="32"/>
        <item x="49"/>
        <item x="60"/>
        <item x="28"/>
        <item x="57"/>
        <item x="30"/>
        <item x="56"/>
        <item x="40"/>
        <item x="50"/>
        <item x="35"/>
        <item x="53"/>
        <item x="47"/>
        <item x="23"/>
        <item x="39"/>
        <item x="55"/>
        <item x="59"/>
        <item x="31"/>
        <item x="54"/>
        <item x="58"/>
        <item x="38"/>
        <item x="36"/>
        <item x="33"/>
        <item x="46"/>
        <item x="52"/>
        <item x="51"/>
        <item x="42"/>
        <item x="12"/>
        <item x="13"/>
        <item x="41"/>
        <item x="34"/>
        <item x="37"/>
        <item x="29"/>
        <item x="5"/>
        <item x="15"/>
        <item x="43"/>
        <item x="10"/>
        <item x="21"/>
        <item x="25"/>
        <item x="18"/>
        <item x="20"/>
        <item x="3"/>
        <item x="6"/>
        <item x="0"/>
        <item x="11"/>
        <item x="16"/>
        <item x="2"/>
        <item x="8"/>
        <item x="4"/>
        <item x="9"/>
        <item x="1"/>
        <item x="14"/>
        <item x="7"/>
        <item x="19"/>
        <item x="17"/>
        <item x="26"/>
        <item x="27"/>
        <item x="22"/>
        <item x="24"/>
        <item x="45"/>
        <item x="44"/>
        <item t="default"/>
      </items>
    </pivotField>
    <pivotField showAll="0"/>
    <pivotField showAll="0"/>
    <pivotField showAll="0"/>
    <pivotField showAll="0"/>
    <pivotField showAll="0"/>
    <pivotField showAll="0"/>
    <pivotField showAll="0"/>
  </pivotFields>
  <rowFields count="1">
    <field x="0"/>
  </rowFields>
  <rowItems count="5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t="grand">
      <x/>
    </i>
  </rowItems>
  <colItems count="1">
    <i/>
  </colItems>
  <dataFields count="1">
    <dataField name="Sum of Debut Year"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3B8BC9-51C2-47B9-AB92-E3916F04C875}" name="no of artists debuted in a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B63" firstHeaderRow="1" firstDataRow="1" firstDataCol="1"/>
  <pivotFields count="14">
    <pivotField dataField="1" showAll="0">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pivotField showAll="0"/>
    <pivotField showAll="0"/>
    <pivotField showAll="0"/>
    <pivotField showAll="0">
      <items count="3">
        <item h="1" x="1"/>
        <item x="0"/>
        <item t="default"/>
      </items>
    </pivotField>
    <pivotField axis="axisRow" showAll="0">
      <items count="62">
        <item x="48"/>
        <item x="32"/>
        <item x="49"/>
        <item x="60"/>
        <item x="28"/>
        <item x="57"/>
        <item x="30"/>
        <item x="56"/>
        <item x="40"/>
        <item x="50"/>
        <item x="35"/>
        <item x="53"/>
        <item x="47"/>
        <item x="23"/>
        <item x="39"/>
        <item x="55"/>
        <item x="59"/>
        <item x="31"/>
        <item x="54"/>
        <item x="58"/>
        <item x="38"/>
        <item x="36"/>
        <item x="33"/>
        <item x="46"/>
        <item x="52"/>
        <item x="51"/>
        <item x="42"/>
        <item x="12"/>
        <item x="13"/>
        <item x="41"/>
        <item x="34"/>
        <item x="37"/>
        <item x="29"/>
        <item x="5"/>
        <item x="15"/>
        <item x="43"/>
        <item x="10"/>
        <item x="21"/>
        <item x="25"/>
        <item x="18"/>
        <item x="20"/>
        <item x="3"/>
        <item x="6"/>
        <item x="0"/>
        <item x="11"/>
        <item x="16"/>
        <item x="2"/>
        <item x="8"/>
        <item x="4"/>
        <item x="9"/>
        <item x="1"/>
        <item x="14"/>
        <item x="7"/>
        <item x="19"/>
        <item x="17"/>
        <item x="26"/>
        <item x="27"/>
        <item x="22"/>
        <item x="24"/>
        <item x="45"/>
        <item x="44"/>
        <item t="default"/>
      </items>
    </pivotField>
    <pivotField showAll="0"/>
    <pivotField showAll="0"/>
    <pivotField showAll="0"/>
    <pivotField showAll="0"/>
    <pivotField showAll="0"/>
    <pivotField showAll="0"/>
    <pivotField showAll="0"/>
  </pivotFields>
  <rowFields count="1">
    <field x="6"/>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Count of Artist Name" fld="0" subtotal="count" baseField="0" baseItem="0"/>
  </dataFields>
  <chartFormats count="2">
    <chartFormat chart="33"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4CE8965-27EF-4D66-988E-CD56BAE4732B}" name="artist langu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A16:B517" firstHeaderRow="1" firstDataRow="1" firstDataCol="1"/>
  <pivotFields count="14">
    <pivotField axis="axisRow" showAll="0" sortType="descending">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autoSortScope>
        <pivotArea dataOnly="0" outline="0" fieldPosition="0">
          <references count="1">
            <reference field="4294967294" count="1" selected="0">
              <x v="0"/>
            </reference>
          </references>
        </pivotArea>
      </autoSortScope>
    </pivotField>
    <pivotField showAll="0"/>
    <pivotField showAll="0"/>
    <pivotField showAll="0">
      <items count="12">
        <item x="0"/>
        <item x="7"/>
        <item x="4"/>
        <item x="3"/>
        <item x="8"/>
        <item x="2"/>
        <item x="5"/>
        <item x="10"/>
        <item x="1"/>
        <item x="6"/>
        <item x="9"/>
        <item t="default"/>
      </items>
    </pivotField>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s>
  <rowFields count="1">
    <field x="0"/>
  </rowFields>
  <rowItems count="501">
    <i>
      <x v="138"/>
    </i>
    <i>
      <x v="434"/>
    </i>
    <i>
      <x v="47"/>
    </i>
    <i>
      <x v="452"/>
    </i>
    <i>
      <x v="226"/>
    </i>
    <i>
      <x v="37"/>
    </i>
    <i>
      <x v="465"/>
    </i>
    <i>
      <x v="231"/>
    </i>
    <i>
      <x v="142"/>
    </i>
    <i>
      <x v="148"/>
    </i>
    <i>
      <x v="395"/>
    </i>
    <i>
      <x v="60"/>
    </i>
    <i>
      <x v="76"/>
    </i>
    <i>
      <x v="237"/>
    </i>
    <i>
      <x v="377"/>
    </i>
    <i>
      <x v="192"/>
    </i>
    <i>
      <x v="167"/>
    </i>
    <i>
      <x v="81"/>
    </i>
    <i>
      <x v="360"/>
    </i>
    <i>
      <x v="107"/>
    </i>
    <i>
      <x v="220"/>
    </i>
    <i>
      <x v="100"/>
    </i>
    <i>
      <x v="343"/>
    </i>
    <i>
      <x v="251"/>
    </i>
    <i>
      <x v="120"/>
    </i>
    <i>
      <x v="139"/>
    </i>
    <i>
      <x v="112"/>
    </i>
    <i>
      <x v="387"/>
    </i>
    <i>
      <x v="34"/>
    </i>
    <i>
      <x v="486"/>
    </i>
    <i>
      <x v="190"/>
    </i>
    <i>
      <x v="266"/>
    </i>
    <i>
      <x v="3"/>
    </i>
    <i>
      <x v="428"/>
    </i>
    <i>
      <x v="38"/>
    </i>
    <i>
      <x v="250"/>
    </i>
    <i>
      <x v="233"/>
    </i>
    <i>
      <x v="259"/>
    </i>
    <i>
      <x v="302"/>
    </i>
    <i>
      <x v="240"/>
    </i>
    <i>
      <x v="57"/>
    </i>
    <i>
      <x v="293"/>
    </i>
    <i>
      <x v="154"/>
    </i>
    <i>
      <x v="86"/>
    </i>
    <i>
      <x v="330"/>
    </i>
    <i>
      <x v="269"/>
    </i>
    <i>
      <x v="367"/>
    </i>
    <i>
      <x v="193"/>
    </i>
    <i>
      <x v="265"/>
    </i>
    <i>
      <x v="418"/>
    </i>
    <i>
      <x v="133"/>
    </i>
    <i>
      <x v="415"/>
    </i>
    <i>
      <x v="326"/>
    </i>
    <i>
      <x v="491"/>
    </i>
    <i>
      <x v="153"/>
    </i>
    <i>
      <x v="416"/>
    </i>
    <i>
      <x v="187"/>
    </i>
    <i>
      <x v="381"/>
    </i>
    <i>
      <x v="407"/>
    </i>
    <i>
      <x v="356"/>
    </i>
    <i>
      <x v="313"/>
    </i>
    <i>
      <x v="354"/>
    </i>
    <i>
      <x v="15"/>
    </i>
    <i>
      <x v="379"/>
    </i>
    <i>
      <x v="234"/>
    </i>
    <i>
      <x v="181"/>
    </i>
    <i>
      <x v="36"/>
    </i>
    <i>
      <x v="166"/>
    </i>
    <i>
      <x v="225"/>
    </i>
    <i>
      <x v="473"/>
    </i>
    <i>
      <x v="412"/>
    </i>
    <i>
      <x v="471"/>
    </i>
    <i>
      <x v="437"/>
    </i>
    <i>
      <x v="372"/>
    </i>
    <i>
      <x v="345"/>
    </i>
    <i>
      <x v="374"/>
    </i>
    <i>
      <x v="185"/>
    </i>
    <i>
      <x v="484"/>
    </i>
    <i>
      <x v="316"/>
    </i>
    <i>
      <x v="405"/>
    </i>
    <i>
      <x v="163"/>
    </i>
    <i>
      <x v="124"/>
    </i>
    <i>
      <x v="194"/>
    </i>
    <i>
      <x v="10"/>
    </i>
    <i>
      <x v="319"/>
    </i>
    <i>
      <x v="438"/>
    </i>
    <i>
      <x v="303"/>
    </i>
    <i>
      <x v="90"/>
    </i>
    <i>
      <x v="469"/>
    </i>
    <i>
      <x v="128"/>
    </i>
    <i>
      <x v="35"/>
    </i>
    <i>
      <x v="389"/>
    </i>
    <i>
      <x v="87"/>
    </i>
    <i>
      <x v="1"/>
    </i>
    <i>
      <x v="357"/>
    </i>
    <i>
      <x v="43"/>
    </i>
    <i>
      <x v="125"/>
    </i>
    <i>
      <x v="421"/>
    </i>
    <i>
      <x v="400"/>
    </i>
    <i>
      <x v="6"/>
    </i>
    <i>
      <x v="331"/>
    </i>
    <i>
      <x v="492"/>
    </i>
    <i>
      <x v="286"/>
    </i>
    <i>
      <x v="111"/>
    </i>
    <i>
      <x v="136"/>
    </i>
    <i>
      <x v="494"/>
    </i>
    <i>
      <x v="247"/>
    </i>
    <i>
      <x v="411"/>
    </i>
    <i>
      <x v="444"/>
    </i>
    <i>
      <x v="380"/>
    </i>
    <i>
      <x v="188"/>
    </i>
    <i>
      <x v="282"/>
    </i>
    <i>
      <x v="146"/>
    </i>
    <i>
      <x v="296"/>
    </i>
    <i>
      <x v="466"/>
    </i>
    <i>
      <x v="433"/>
    </i>
    <i>
      <x v="262"/>
    </i>
    <i>
      <x v="312"/>
    </i>
    <i>
      <x v="135"/>
    </i>
    <i>
      <x v="476"/>
    </i>
    <i>
      <x v="96"/>
    </i>
    <i>
      <x v="228"/>
    </i>
    <i>
      <x v="455"/>
    </i>
    <i>
      <x v="409"/>
    </i>
    <i>
      <x v="472"/>
    </i>
    <i>
      <x v="229"/>
    </i>
    <i>
      <x v="244"/>
    </i>
    <i>
      <x v="199"/>
    </i>
    <i>
      <x v="65"/>
    </i>
    <i>
      <x v="206"/>
    </i>
    <i>
      <x v="52"/>
    </i>
    <i>
      <x v="113"/>
    </i>
    <i>
      <x v="279"/>
    </i>
    <i>
      <x v="123"/>
    </i>
    <i>
      <x v="17"/>
    </i>
    <i>
      <x v="14"/>
    </i>
    <i>
      <x v="410"/>
    </i>
    <i>
      <x v="89"/>
    </i>
    <i>
      <x v="18"/>
    </i>
    <i>
      <x v="9"/>
    </i>
    <i>
      <x v="158"/>
    </i>
    <i>
      <x v="189"/>
    </i>
    <i>
      <x v="145"/>
    </i>
    <i>
      <x v="383"/>
    </i>
    <i>
      <x v="59"/>
    </i>
    <i>
      <x v="159"/>
    </i>
    <i>
      <x v="361"/>
    </i>
    <i>
      <x v="347"/>
    </i>
    <i>
      <x v="376"/>
    </i>
    <i>
      <x v="74"/>
    </i>
    <i>
      <x v="197"/>
    </i>
    <i>
      <x v="462"/>
    </i>
    <i>
      <x v="368"/>
    </i>
    <i>
      <x v="132"/>
    </i>
    <i>
      <x v="115"/>
    </i>
    <i>
      <x v="63"/>
    </i>
    <i>
      <x v="426"/>
    </i>
    <i>
      <x v="417"/>
    </i>
    <i>
      <x v="140"/>
    </i>
    <i>
      <x v="62"/>
    </i>
    <i>
      <x v="317"/>
    </i>
    <i>
      <x v="440"/>
    </i>
    <i>
      <x v="297"/>
    </i>
    <i>
      <x v="32"/>
    </i>
    <i>
      <x v="175"/>
    </i>
    <i>
      <x v="260"/>
    </i>
    <i>
      <x v="375"/>
    </i>
    <i>
      <x v="11"/>
    </i>
    <i>
      <x v="169"/>
    </i>
    <i>
      <x v="242"/>
    </i>
    <i>
      <x v="227"/>
    </i>
    <i>
      <x v="68"/>
    </i>
    <i>
      <x v="424"/>
    </i>
    <i>
      <x v="31"/>
    </i>
    <i>
      <x v="339"/>
    </i>
    <i>
      <x v="180"/>
    </i>
    <i>
      <x v="401"/>
    </i>
    <i>
      <x v="95"/>
    </i>
    <i>
      <x v="214"/>
    </i>
    <i>
      <x v="152"/>
    </i>
    <i>
      <x v="364"/>
    </i>
    <i>
      <x v="217"/>
    </i>
    <i>
      <x v="352"/>
    </i>
    <i>
      <x v="362"/>
    </i>
    <i>
      <x v="431"/>
    </i>
    <i>
      <x v="382"/>
    </i>
    <i>
      <x v="325"/>
    </i>
    <i>
      <x v="495"/>
    </i>
    <i>
      <x v="459"/>
    </i>
    <i>
      <x/>
    </i>
    <i>
      <x v="4"/>
    </i>
    <i>
      <x v="173"/>
    </i>
    <i>
      <x v="258"/>
    </i>
    <i>
      <x v="177"/>
    </i>
    <i>
      <x v="88"/>
    </i>
    <i>
      <x v="257"/>
    </i>
    <i>
      <x v="2"/>
    </i>
    <i>
      <x v="340"/>
    </i>
    <i>
      <x v="79"/>
    </i>
    <i>
      <x v="391"/>
    </i>
    <i>
      <x v="399"/>
    </i>
    <i>
      <x v="182"/>
    </i>
    <i>
      <x v="300"/>
    </i>
    <i>
      <x v="349"/>
    </i>
    <i>
      <x v="309"/>
    </i>
    <i>
      <x v="102"/>
    </i>
    <i>
      <x v="72"/>
    </i>
    <i>
      <x v="304"/>
    </i>
    <i>
      <x v="48"/>
    </i>
    <i>
      <x v="370"/>
    </i>
    <i>
      <x v="314"/>
    </i>
    <i>
      <x v="483"/>
    </i>
    <i>
      <x v="137"/>
    </i>
    <i>
      <x v="323"/>
    </i>
    <i>
      <x v="104"/>
    </i>
    <i>
      <x v="99"/>
    </i>
    <i>
      <x v="482"/>
    </i>
    <i>
      <x v="292"/>
    </i>
    <i>
      <x v="212"/>
    </i>
    <i>
      <x v="318"/>
    </i>
    <i>
      <x v="261"/>
    </i>
    <i>
      <x v="427"/>
    </i>
    <i>
      <x v="271"/>
    </i>
    <i>
      <x v="13"/>
    </i>
    <i>
      <x v="53"/>
    </i>
    <i>
      <x v="487"/>
    </i>
    <i>
      <x v="150"/>
    </i>
    <i>
      <x v="267"/>
    </i>
    <i>
      <x v="280"/>
    </i>
    <i>
      <x v="499"/>
    </i>
    <i>
      <x v="5"/>
    </i>
    <i>
      <x v="195"/>
    </i>
    <i>
      <x v="470"/>
    </i>
    <i>
      <x v="12"/>
    </i>
    <i>
      <x v="40"/>
    </i>
    <i>
      <x v="496"/>
    </i>
    <i>
      <x v="315"/>
    </i>
    <i>
      <x v="287"/>
    </i>
    <i>
      <x v="33"/>
    </i>
    <i>
      <x v="448"/>
    </i>
    <i>
      <x v="164"/>
    </i>
    <i>
      <x v="397"/>
    </i>
    <i>
      <x v="78"/>
    </i>
    <i>
      <x v="183"/>
    </i>
    <i>
      <x v="144"/>
    </i>
    <i>
      <x v="176"/>
    </i>
    <i>
      <x v="27"/>
    </i>
    <i>
      <x v="24"/>
    </i>
    <i>
      <x v="238"/>
    </i>
    <i>
      <x v="254"/>
    </i>
    <i>
      <x v="289"/>
    </i>
    <i>
      <x v="390"/>
    </i>
    <i>
      <x v="211"/>
    </i>
    <i>
      <x v="310"/>
    </i>
    <i>
      <x v="263"/>
    </i>
    <i>
      <x v="272"/>
    </i>
    <i>
      <x v="307"/>
    </i>
    <i>
      <x v="101"/>
    </i>
    <i>
      <x v="165"/>
    </i>
    <i>
      <x v="311"/>
    </i>
    <i>
      <x v="147"/>
    </i>
    <i>
      <x v="394"/>
    </i>
    <i>
      <x v="110"/>
    </i>
    <i>
      <x v="497"/>
    </i>
    <i>
      <x v="363"/>
    </i>
    <i>
      <x v="93"/>
    </i>
    <i>
      <x v="346"/>
    </i>
    <i>
      <x v="64"/>
    </i>
    <i>
      <x v="109"/>
    </i>
    <i>
      <x v="464"/>
    </i>
    <i>
      <x v="224"/>
    </i>
    <i>
      <x v="419"/>
    </i>
    <i>
      <x v="130"/>
    </i>
    <i>
      <x v="485"/>
    </i>
    <i>
      <x v="351"/>
    </i>
    <i>
      <x v="103"/>
    </i>
    <i>
      <x v="420"/>
    </i>
    <i>
      <x v="191"/>
    </i>
    <i>
      <x v="270"/>
    </i>
    <i>
      <x v="50"/>
    </i>
    <i>
      <x v="445"/>
    </i>
    <i>
      <x v="321"/>
    </i>
    <i>
      <x v="430"/>
    </i>
    <i>
      <x v="493"/>
    </i>
    <i>
      <x v="386"/>
    </i>
    <i>
      <x v="249"/>
    </i>
    <i>
      <x v="98"/>
    </i>
    <i>
      <x v="117"/>
    </i>
    <i>
      <x v="70"/>
    </i>
    <i>
      <x v="441"/>
    </i>
    <i>
      <x v="67"/>
    </i>
    <i>
      <x v="425"/>
    </i>
    <i>
      <x v="207"/>
    </i>
    <i>
      <x v="235"/>
    </i>
    <i>
      <x v="106"/>
    </i>
    <i>
      <x v="119"/>
    </i>
    <i>
      <x v="474"/>
    </i>
    <i>
      <x v="42"/>
    </i>
    <i>
      <x v="162"/>
    </i>
    <i>
      <x v="436"/>
    </i>
    <i>
      <x v="299"/>
    </i>
    <i>
      <x v="373"/>
    </i>
    <i>
      <x v="422"/>
    </i>
    <i>
      <x v="121"/>
    </i>
    <i>
      <x v="467"/>
    </i>
    <i>
      <x v="108"/>
    </i>
    <i>
      <x v="277"/>
    </i>
    <i>
      <x v="82"/>
    </i>
    <i>
      <x v="116"/>
    </i>
    <i>
      <x v="308"/>
    </i>
    <i>
      <x v="329"/>
    </i>
    <i>
      <x v="21"/>
    </i>
    <i>
      <x v="479"/>
    </i>
    <i>
      <x v="365"/>
    </i>
    <i>
      <x v="248"/>
    </i>
    <i>
      <x v="488"/>
    </i>
    <i>
      <x v="305"/>
    </i>
    <i>
      <x v="26"/>
    </i>
    <i>
      <x v="73"/>
    </i>
    <i>
      <x v="92"/>
    </i>
    <i>
      <x v="255"/>
    </i>
    <i>
      <x v="285"/>
    </i>
    <i>
      <x v="56"/>
    </i>
    <i>
      <x v="114"/>
    </i>
    <i>
      <x v="342"/>
    </i>
    <i>
      <x v="298"/>
    </i>
    <i>
      <x v="295"/>
    </i>
    <i>
      <x v="256"/>
    </i>
    <i>
      <x v="284"/>
    </i>
    <i>
      <x v="161"/>
    </i>
    <i>
      <x v="278"/>
    </i>
    <i>
      <x v="388"/>
    </i>
    <i>
      <x v="337"/>
    </i>
    <i>
      <x v="174"/>
    </i>
    <i>
      <x v="457"/>
    </i>
    <i>
      <x v="204"/>
    </i>
    <i>
      <x v="442"/>
    </i>
    <i>
      <x v="358"/>
    </i>
    <i>
      <x v="30"/>
    </i>
    <i>
      <x v="97"/>
    </i>
    <i>
      <x v="223"/>
    </i>
    <i>
      <x v="378"/>
    </i>
    <i>
      <x v="49"/>
    </i>
    <i>
      <x v="414"/>
    </i>
    <i>
      <x v="160"/>
    </i>
    <i>
      <x v="489"/>
    </i>
    <i>
      <x v="20"/>
    </i>
    <i>
      <x v="264"/>
    </i>
    <i>
      <x v="171"/>
    </i>
    <i>
      <x v="61"/>
    </i>
    <i>
      <x v="281"/>
    </i>
    <i>
      <x v="328"/>
    </i>
    <i>
      <x v="215"/>
    </i>
    <i>
      <x v="435"/>
    </i>
    <i>
      <x v="219"/>
    </i>
    <i>
      <x v="203"/>
    </i>
    <i>
      <x v="91"/>
    </i>
    <i>
      <x v="429"/>
    </i>
    <i>
      <x v="168"/>
    </i>
    <i>
      <x v="143"/>
    </i>
    <i>
      <x v="25"/>
    </i>
    <i>
      <x v="66"/>
    </i>
    <i>
      <x v="333"/>
    </i>
    <i>
      <x v="75"/>
    </i>
    <i>
      <x v="23"/>
    </i>
    <i>
      <x v="216"/>
    </i>
    <i>
      <x v="186"/>
    </i>
    <i>
      <x v="222"/>
    </i>
    <i>
      <x v="122"/>
    </i>
    <i>
      <x v="105"/>
    </i>
    <i>
      <x v="481"/>
    </i>
    <i>
      <x v="463"/>
    </i>
    <i>
      <x v="131"/>
    </i>
    <i>
      <x v="28"/>
    </i>
    <i>
      <x v="468"/>
    </i>
    <i>
      <x v="432"/>
    </i>
    <i>
      <x v="118"/>
    </i>
    <i>
      <x v="44"/>
    </i>
    <i>
      <x v="275"/>
    </i>
    <i>
      <x v="243"/>
    </i>
    <i>
      <x v="210"/>
    </i>
    <i>
      <x v="19"/>
    </i>
    <i>
      <x v="172"/>
    </i>
    <i>
      <x v="406"/>
    </i>
    <i>
      <x v="156"/>
    </i>
    <i>
      <x v="334"/>
    </i>
    <i>
      <x v="196"/>
    </i>
    <i>
      <x v="413"/>
    </i>
    <i>
      <x v="449"/>
    </i>
    <i>
      <x v="458"/>
    </i>
    <i>
      <x v="46"/>
    </i>
    <i>
      <x v="209"/>
    </i>
    <i>
      <x v="294"/>
    </i>
    <i>
      <x v="348"/>
    </i>
    <i>
      <x v="170"/>
    </i>
    <i>
      <x v="84"/>
    </i>
    <i>
      <x v="94"/>
    </i>
    <i>
      <x v="423"/>
    </i>
    <i>
      <x v="221"/>
    </i>
    <i>
      <x v="301"/>
    </i>
    <i>
      <x v="236"/>
    </i>
    <i>
      <x v="446"/>
    </i>
    <i>
      <x v="71"/>
    </i>
    <i>
      <x v="58"/>
    </i>
    <i>
      <x v="320"/>
    </i>
    <i>
      <x v="201"/>
    </i>
    <i>
      <x v="155"/>
    </i>
    <i>
      <x v="341"/>
    </i>
    <i>
      <x v="7"/>
    </i>
    <i>
      <x v="332"/>
    </i>
    <i>
      <x v="350"/>
    </i>
    <i>
      <x v="478"/>
    </i>
    <i>
      <x v="454"/>
    </i>
    <i>
      <x v="16"/>
    </i>
    <i>
      <x v="54"/>
    </i>
    <i>
      <x v="475"/>
    </i>
    <i>
      <x v="371"/>
    </i>
    <i>
      <x v="398"/>
    </i>
    <i>
      <x v="477"/>
    </i>
    <i>
      <x v="69"/>
    </i>
    <i>
      <x v="151"/>
    </i>
    <i>
      <x v="202"/>
    </i>
    <i>
      <x v="402"/>
    </i>
    <i>
      <x v="384"/>
    </i>
    <i>
      <x v="205"/>
    </i>
    <i>
      <x v="450"/>
    </i>
    <i>
      <x v="141"/>
    </i>
    <i>
      <x v="447"/>
    </i>
    <i>
      <x v="369"/>
    </i>
    <i>
      <x v="451"/>
    </i>
    <i>
      <x v="39"/>
    </i>
    <i>
      <x v="359"/>
    </i>
    <i>
      <x v="353"/>
    </i>
    <i>
      <x v="126"/>
    </i>
    <i>
      <x v="338"/>
    </i>
    <i>
      <x v="41"/>
    </i>
    <i>
      <x v="393"/>
    </i>
    <i>
      <x v="273"/>
    </i>
    <i>
      <x v="392"/>
    </i>
    <i>
      <x v="408"/>
    </i>
    <i>
      <x v="8"/>
    </i>
    <i>
      <x v="127"/>
    </i>
    <i>
      <x v="80"/>
    </i>
    <i>
      <x v="22"/>
    </i>
    <i>
      <x v="385"/>
    </i>
    <i>
      <x v="335"/>
    </i>
    <i>
      <x v="327"/>
    </i>
    <i>
      <x v="246"/>
    </i>
    <i>
      <x v="366"/>
    </i>
    <i>
      <x v="498"/>
    </i>
    <i>
      <x v="403"/>
    </i>
    <i>
      <x v="336"/>
    </i>
    <i>
      <x v="480"/>
    </i>
    <i>
      <x v="129"/>
    </i>
    <i>
      <x v="184"/>
    </i>
    <i>
      <x v="396"/>
    </i>
    <i>
      <x v="239"/>
    </i>
    <i>
      <x v="51"/>
    </i>
    <i>
      <x v="232"/>
    </i>
    <i>
      <x v="83"/>
    </i>
    <i>
      <x v="77"/>
    </i>
    <i>
      <x v="149"/>
    </i>
    <i>
      <x v="134"/>
    </i>
    <i>
      <x v="29"/>
    </i>
    <i>
      <x v="252"/>
    </i>
    <i>
      <x v="213"/>
    </i>
    <i>
      <x v="45"/>
    </i>
    <i>
      <x v="198"/>
    </i>
    <i>
      <x v="276"/>
    </i>
    <i>
      <x v="241"/>
    </i>
    <i>
      <x v="291"/>
    </i>
    <i>
      <x v="306"/>
    </i>
    <i>
      <x v="456"/>
    </i>
    <i>
      <x v="460"/>
    </i>
    <i>
      <x v="288"/>
    </i>
    <i>
      <x v="453"/>
    </i>
    <i>
      <x v="283"/>
    </i>
    <i>
      <x v="157"/>
    </i>
    <i>
      <x v="230"/>
    </i>
    <i>
      <x v="253"/>
    </i>
    <i>
      <x v="179"/>
    </i>
    <i>
      <x v="344"/>
    </i>
    <i>
      <x v="322"/>
    </i>
    <i>
      <x v="290"/>
    </i>
    <i>
      <x v="404"/>
    </i>
    <i>
      <x v="324"/>
    </i>
    <i>
      <x v="85"/>
    </i>
    <i>
      <x v="461"/>
    </i>
    <i>
      <x v="178"/>
    </i>
    <i>
      <x v="55"/>
    </i>
    <i>
      <x v="208"/>
    </i>
    <i>
      <x v="490"/>
    </i>
    <i>
      <x v="218"/>
    </i>
    <i>
      <x v="274"/>
    </i>
    <i>
      <x v="200"/>
    </i>
    <i>
      <x v="439"/>
    </i>
    <i>
      <x v="443"/>
    </i>
    <i>
      <x v="268"/>
    </i>
    <i>
      <x v="245"/>
    </i>
    <i>
      <x v="355"/>
    </i>
    <i t="grand">
      <x/>
    </i>
  </rowItems>
  <colItems count="1">
    <i/>
  </colItems>
  <dataFields count="1">
    <dataField name="Sum of Total Streams (in millions)" fld="7" baseField="0" baseItem="0"/>
  </dataFields>
  <chartFormats count="6">
    <chartFormat chart="18" format="6" series="1">
      <pivotArea type="data" outline="0" fieldPosition="0">
        <references count="1">
          <reference field="4294967294" count="1" selected="0">
            <x v="0"/>
          </reference>
        </references>
      </pivotArea>
    </chartFormat>
    <chartFormat chart="21" format="1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6" format="17"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EC64D1-D0D9-49CC-A01F-5A49E1787B77}" name="Langu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1:B13" firstHeaderRow="1" firstDataRow="1" firstDataCol="1"/>
  <pivotFields count="14">
    <pivotField showAll="0"/>
    <pivotField showAll="0"/>
    <pivotField showAll="0"/>
    <pivotField axis="axisRow" showAll="0">
      <items count="12">
        <item x="0"/>
        <item x="7"/>
        <item x="4"/>
        <item x="3"/>
        <item x="8"/>
        <item x="2"/>
        <item x="5"/>
        <item x="10"/>
        <item x="1"/>
        <item x="6"/>
        <item x="9"/>
        <item t="default"/>
      </items>
    </pivotField>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s>
  <rowFields count="1">
    <field x="3"/>
  </rowFields>
  <rowItems count="12">
    <i>
      <x/>
    </i>
    <i>
      <x v="1"/>
    </i>
    <i>
      <x v="2"/>
    </i>
    <i>
      <x v="3"/>
    </i>
    <i>
      <x v="4"/>
    </i>
    <i>
      <x v="5"/>
    </i>
    <i>
      <x v="6"/>
    </i>
    <i>
      <x v="7"/>
    </i>
    <i>
      <x v="8"/>
    </i>
    <i>
      <x v="9"/>
    </i>
    <i>
      <x v="10"/>
    </i>
    <i t="grand">
      <x/>
    </i>
  </rowItems>
  <colItems count="1">
    <i/>
  </colItems>
  <dataFields count="1">
    <dataField name="Sum of Total Streams (in millions)" fld="7" baseField="0" baseItem="0"/>
  </dataFields>
  <chartFormats count="26">
    <chartFormat chart="18" format="6" series="1">
      <pivotArea type="data" outline="0" fieldPosition="0">
        <references count="1">
          <reference field="4294967294" count="1" selected="0">
            <x v="0"/>
          </reference>
        </references>
      </pivotArea>
    </chartFormat>
    <chartFormat chart="21" format="1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39" format="1">
      <pivotArea type="data" outline="0" fieldPosition="0">
        <references count="2">
          <reference field="4294967294" count="1" selected="0">
            <x v="0"/>
          </reference>
          <reference field="3" count="1" selected="0">
            <x v="0"/>
          </reference>
        </references>
      </pivotArea>
    </chartFormat>
    <chartFormat chart="39" format="2">
      <pivotArea type="data" outline="0" fieldPosition="0">
        <references count="2">
          <reference field="4294967294" count="1" selected="0">
            <x v="0"/>
          </reference>
          <reference field="3" count="1" selected="0">
            <x v="8"/>
          </reference>
        </references>
      </pivotArea>
    </chartFormat>
    <chartFormat chart="39" format="3">
      <pivotArea type="data" outline="0" fieldPosition="0">
        <references count="2">
          <reference field="4294967294" count="1" selected="0">
            <x v="0"/>
          </reference>
          <reference field="3" count="1" selected="0">
            <x v="1"/>
          </reference>
        </references>
      </pivotArea>
    </chartFormat>
    <chartFormat chart="39" format="4">
      <pivotArea type="data" outline="0" fieldPosition="0">
        <references count="2">
          <reference field="4294967294" count="1" selected="0">
            <x v="0"/>
          </reference>
          <reference field="3" count="1" selected="0">
            <x v="10"/>
          </reference>
        </references>
      </pivotArea>
    </chartFormat>
    <chartFormat chart="46" format="17" series="1">
      <pivotArea type="data" outline="0" fieldPosition="0">
        <references count="1">
          <reference field="4294967294" count="1" selected="0">
            <x v="0"/>
          </reference>
        </references>
      </pivotArea>
    </chartFormat>
    <chartFormat chart="46" format="18">
      <pivotArea type="data" outline="0" fieldPosition="0">
        <references count="2">
          <reference field="4294967294" count="1" selected="0">
            <x v="0"/>
          </reference>
          <reference field="3" count="1" selected="0">
            <x v="0"/>
          </reference>
        </references>
      </pivotArea>
    </chartFormat>
    <chartFormat chart="46" format="19">
      <pivotArea type="data" outline="0" fieldPosition="0">
        <references count="2">
          <reference field="4294967294" count="1" selected="0">
            <x v="0"/>
          </reference>
          <reference field="3" count="1" selected="0">
            <x v="1"/>
          </reference>
        </references>
      </pivotArea>
    </chartFormat>
    <chartFormat chart="46" format="20">
      <pivotArea type="data" outline="0" fieldPosition="0">
        <references count="2">
          <reference field="4294967294" count="1" selected="0">
            <x v="0"/>
          </reference>
          <reference field="3" count="1" selected="0">
            <x v="2"/>
          </reference>
        </references>
      </pivotArea>
    </chartFormat>
    <chartFormat chart="46" format="21">
      <pivotArea type="data" outline="0" fieldPosition="0">
        <references count="2">
          <reference field="4294967294" count="1" selected="0">
            <x v="0"/>
          </reference>
          <reference field="3" count="1" selected="0">
            <x v="3"/>
          </reference>
        </references>
      </pivotArea>
    </chartFormat>
    <chartFormat chart="46" format="22">
      <pivotArea type="data" outline="0" fieldPosition="0">
        <references count="2">
          <reference field="4294967294" count="1" selected="0">
            <x v="0"/>
          </reference>
          <reference field="3" count="1" selected="0">
            <x v="4"/>
          </reference>
        </references>
      </pivotArea>
    </chartFormat>
    <chartFormat chart="46" format="23">
      <pivotArea type="data" outline="0" fieldPosition="0">
        <references count="2">
          <reference field="4294967294" count="1" selected="0">
            <x v="0"/>
          </reference>
          <reference field="3" count="1" selected="0">
            <x v="5"/>
          </reference>
        </references>
      </pivotArea>
    </chartFormat>
    <chartFormat chart="46" format="24">
      <pivotArea type="data" outline="0" fieldPosition="0">
        <references count="2">
          <reference field="4294967294" count="1" selected="0">
            <x v="0"/>
          </reference>
          <reference field="3" count="1" selected="0">
            <x v="6"/>
          </reference>
        </references>
      </pivotArea>
    </chartFormat>
    <chartFormat chart="46" format="25">
      <pivotArea type="data" outline="0" fieldPosition="0">
        <references count="2">
          <reference field="4294967294" count="1" selected="0">
            <x v="0"/>
          </reference>
          <reference field="3" count="1" selected="0">
            <x v="7"/>
          </reference>
        </references>
      </pivotArea>
    </chartFormat>
    <chartFormat chart="46" format="26">
      <pivotArea type="data" outline="0" fieldPosition="0">
        <references count="2">
          <reference field="4294967294" count="1" selected="0">
            <x v="0"/>
          </reference>
          <reference field="3" count="1" selected="0">
            <x v="8"/>
          </reference>
        </references>
      </pivotArea>
    </chartFormat>
    <chartFormat chart="46" format="27">
      <pivotArea type="data" outline="0" fieldPosition="0">
        <references count="2">
          <reference field="4294967294" count="1" selected="0">
            <x v="0"/>
          </reference>
          <reference field="3" count="1" selected="0">
            <x v="9"/>
          </reference>
        </references>
      </pivotArea>
    </chartFormat>
    <chartFormat chart="46" format="28">
      <pivotArea type="data" outline="0" fieldPosition="0">
        <references count="2">
          <reference field="4294967294" count="1" selected="0">
            <x v="0"/>
          </reference>
          <reference field="3" count="1" selected="0">
            <x v="10"/>
          </reference>
        </references>
      </pivotArea>
    </chartFormat>
    <chartFormat chart="39" format="5">
      <pivotArea type="data" outline="0" fieldPosition="0">
        <references count="2">
          <reference field="4294967294" count="1" selected="0">
            <x v="0"/>
          </reference>
          <reference field="3" count="1" selected="0">
            <x v="2"/>
          </reference>
        </references>
      </pivotArea>
    </chartFormat>
    <chartFormat chart="39" format="6">
      <pivotArea type="data" outline="0" fieldPosition="0">
        <references count="2">
          <reference field="4294967294" count="1" selected="0">
            <x v="0"/>
          </reference>
          <reference field="3" count="1" selected="0">
            <x v="3"/>
          </reference>
        </references>
      </pivotArea>
    </chartFormat>
    <chartFormat chart="39" format="7">
      <pivotArea type="data" outline="0" fieldPosition="0">
        <references count="2">
          <reference field="4294967294" count="1" selected="0">
            <x v="0"/>
          </reference>
          <reference field="3" count="1" selected="0">
            <x v="4"/>
          </reference>
        </references>
      </pivotArea>
    </chartFormat>
    <chartFormat chart="39" format="8">
      <pivotArea type="data" outline="0" fieldPosition="0">
        <references count="2">
          <reference field="4294967294" count="1" selected="0">
            <x v="0"/>
          </reference>
          <reference field="3" count="1" selected="0">
            <x v="5"/>
          </reference>
        </references>
      </pivotArea>
    </chartFormat>
    <chartFormat chart="39" format="9">
      <pivotArea type="data" outline="0" fieldPosition="0">
        <references count="2">
          <reference field="4294967294" count="1" selected="0">
            <x v="0"/>
          </reference>
          <reference field="3" count="1" selected="0">
            <x v="6"/>
          </reference>
        </references>
      </pivotArea>
    </chartFormat>
    <chartFormat chart="39" format="10">
      <pivotArea type="data" outline="0" fieldPosition="0">
        <references count="2">
          <reference field="4294967294" count="1" selected="0">
            <x v="0"/>
          </reference>
          <reference field="3" count="1" selected="0">
            <x v="7"/>
          </reference>
        </references>
      </pivotArea>
    </chartFormat>
    <chartFormat chart="39" format="11">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Genre1" xr10:uid="{CB477023-E6F8-4338-B8F8-D0FE40695A7D}" sourceName="Primary Genre">
  <pivotTables>
    <pivotTable tabId="6" name="stream per genre"/>
    <pivotTable tabId="7" name="top 10 artist"/>
  </pivotTables>
  <data>
    <tabular pivotCacheId="1271743669">
      <items count="23">
        <i x="19" s="1"/>
        <i x="6" s="1"/>
        <i x="14" s="1"/>
        <i x="21" s="1"/>
        <i x="11" s="1"/>
        <i x="7" s="1"/>
        <i x="8" s="1"/>
        <i x="17" s="1"/>
        <i x="0" s="1"/>
        <i x="4" s="1"/>
        <i x="9" s="1"/>
        <i x="18" s="1"/>
        <i x="22" s="1"/>
        <i x="1" s="1"/>
        <i x="3" s="1"/>
        <i x="16" s="1"/>
        <i x="2" s="1"/>
        <i x="10" s="1"/>
        <i x="5" s="1"/>
        <i x="15" s="1"/>
        <i x="20" s="1"/>
        <i x="13"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_Name2" xr10:uid="{3C41018D-E55A-4153-AA1C-7136D33D74E9}" sourceName="Artist Name">
  <pivotTables>
    <pivotTable tabId="3" name="Collaborative %"/>
    <pivotTable tabId="5" name="stream per artist"/>
    <pivotTable tabId="9" name="artist debut year"/>
  </pivotTables>
  <data>
    <tabular pivotCacheId="1271743669">
      <items count="500">
        <i x="189" s="1"/>
        <i x="93" s="1"/>
        <i x="196" s="1"/>
        <i x="32" s="1"/>
        <i x="190" s="1"/>
        <i x="230" s="1"/>
        <i x="99" s="1"/>
        <i x="408" s="1"/>
        <i x="440" s="1"/>
        <i x="139" s="1"/>
        <i x="83" s="1"/>
        <i x="167" s="1"/>
        <i x="233" s="1"/>
        <i x="223" s="1"/>
        <i x="135" s="1"/>
        <i x="62" s="1"/>
        <i x="413" s="1"/>
        <i x="134" s="1"/>
        <i x="138" s="1"/>
        <i x="381" s="1"/>
        <i x="346" s="1"/>
        <i x="311" s="1"/>
        <i x="443" s="1"/>
        <i x="364" s="1"/>
        <i x="247" s="1"/>
        <i x="360" s="1"/>
        <i x="317" s="1"/>
        <i x="246" s="1"/>
        <i x="373" s="1"/>
        <i x="463" s="1"/>
        <i x="338" s="1"/>
        <i x="173" s="1"/>
        <i x="163" s="1"/>
        <i x="238" s="1"/>
        <i x="28" s="1"/>
        <i x="90" s="1"/>
        <i x="66" s="1"/>
        <i x="5" s="1"/>
        <i x="34" s="1"/>
        <i x="430" s="1"/>
        <i x="234" s="1"/>
        <i x="435" s="1"/>
        <i x="297" s="1"/>
        <i x="95" s="1"/>
        <i x="377" s="1"/>
        <i x="466" s="1"/>
        <i x="390" s="1"/>
        <i x="2" s="1"/>
        <i x="208" s="1"/>
        <i x="342" s="1"/>
        <i x="279" s="1"/>
        <i x="457" s="1"/>
        <i x="130" s="1"/>
        <i x="224" s="1"/>
        <i x="414" s="1"/>
        <i x="489" s="1"/>
        <i x="322" s="1"/>
        <i x="40" s="1"/>
        <i x="403" s="1"/>
        <i x="144" s="1"/>
        <i x="11" s="1"/>
        <i x="349" s="1"/>
        <i x="159" s="1"/>
        <i x="155" s="1"/>
        <i x="267" s="1"/>
        <i x="128" s="1"/>
        <i x="361" s="1"/>
        <i x="290" s="1"/>
        <i x="171" s="1"/>
        <i x="419" s="1"/>
        <i x="288" s="1"/>
        <i x="402" s="1"/>
        <i x="206" s="1"/>
        <i x="318" s="1"/>
        <i x="149" s="1"/>
        <i x="363" s="1"/>
        <i x="12" s="1"/>
        <i x="460" s="1"/>
        <i x="242" s="1"/>
        <i x="198" s="1"/>
        <i x="442" s="1"/>
        <i x="17" s="1"/>
        <i x="307" s="1"/>
        <i x="459" s="1"/>
        <i x="395" s="1"/>
        <i x="486" s="1"/>
        <i x="43" s="1"/>
        <i x="92" s="1"/>
        <i x="194" s="1"/>
        <i x="137" s="1"/>
        <i x="87" s="1"/>
        <i x="356" s="1"/>
        <i x="319" s="1"/>
        <i x="265" s="1"/>
        <i x="396" s="1"/>
        <i x="177" s="1"/>
        <i x="120" s="1"/>
        <i x="339" s="1"/>
        <i x="286" s="1"/>
        <i x="215" s="1"/>
        <i x="21" s="1"/>
        <i x="257" s="1"/>
        <i x="205" s="1"/>
        <i x="275" s="1"/>
        <i x="214" s="1"/>
        <i x="369" s="1"/>
        <i x="294" s="1"/>
        <i x="19" s="1"/>
        <i x="305" s="1"/>
        <i x="268" s="1"/>
        <i x="262" s="1"/>
        <i x="103" s="1"/>
        <i x="26" s="1"/>
        <i x="131" s="1"/>
        <i x="323" s="1"/>
        <i x="154" s="1"/>
        <i x="308" s="1"/>
        <i x="287" s="1"/>
        <i x="376" s="1"/>
        <i x="295" s="1"/>
        <i x="24" s="1"/>
        <i x="303" s="1"/>
        <i x="368" s="1"/>
        <i x="133" s="1"/>
        <i x="81" s="1"/>
        <i x="96" s="1"/>
        <i x="433" s="1"/>
        <i x="441" s="1"/>
        <i x="89" s="1"/>
        <i x="453" s="1"/>
        <i x="272" s="1"/>
        <i x="372" s="1"/>
        <i x="153" s="1"/>
        <i x="50" s="1"/>
        <i x="462" s="1"/>
        <i x="118" s="1"/>
        <i x="104" s="1"/>
        <i x="212" s="1"/>
        <i x="0" s="1"/>
        <i x="25" s="1"/>
        <i x="158" s="1"/>
        <i x="426" s="1"/>
        <i x="8" s="1"/>
        <i x="359" s="1"/>
        <i x="244" s="1"/>
        <i x="142" s="1"/>
        <i x="112" s="1"/>
        <i x="260" s="1"/>
        <i x="9" s="1"/>
        <i x="461" s="1"/>
        <i x="226" s="1"/>
        <i x="420" s="1"/>
        <i x="179" s="1"/>
        <i x="54" s="1"/>
        <i x="42" s="1"/>
        <i x="406" s="1"/>
        <i x="384" s="1"/>
        <i x="477" s="1"/>
        <i x="140" s="1"/>
        <i x="145" s="1"/>
        <i x="344" s="1"/>
        <i x="329" s="1"/>
        <i x="298" s="1"/>
        <i x="80" s="1"/>
        <i x="240" s="1"/>
        <i x="258" s="1"/>
        <i x="67" s="1"/>
        <i x="16" s="1"/>
        <i x="358" s="1"/>
        <i x="168" s="1"/>
        <i x="394" s="1"/>
        <i x="348" s="1"/>
        <i x="382" s="1"/>
        <i x="191" s="1"/>
        <i x="333" s="1"/>
        <i x="164" s="1"/>
        <i x="245" s="1"/>
        <i x="193" s="1"/>
        <i x="488" s="1"/>
        <i x="480" s="1"/>
        <i x="175" s="1"/>
        <i x="65" s="1"/>
        <i x="201" s="1"/>
        <i x="243" s="1"/>
        <i x="454" s="1"/>
        <i x="76" s="1"/>
        <i x="366" s="1"/>
        <i x="56" s="1"/>
        <i x="110" s="1"/>
        <i x="141" s="1"/>
        <i x="30" s="1"/>
        <i x="277" s="1"/>
        <i x="15" s="1"/>
        <i x="47" s="1"/>
        <i x="82" s="1"/>
        <i x="231" s="1"/>
        <i x="386" s="1"/>
        <i x="150" s="1"/>
        <i x="467" s="1"/>
        <i x="127" s="1"/>
        <i x="494" s="1"/>
        <i x="405" s="1"/>
        <i x="421" s="1"/>
        <i x="355" s="1"/>
        <i x="335" s="1"/>
        <i x="424" s="1"/>
        <i x="129" s="1"/>
        <i x="292" s="1"/>
        <i x="490" s="1"/>
        <i x="391" s="1"/>
        <i x="380" s="1"/>
        <i x="252" s="1"/>
        <i x="218" s="1"/>
        <i x="465" s="1"/>
        <i x="178" s="1"/>
        <i x="352" s="1"/>
        <i x="365" s="1"/>
        <i x="181" s="1"/>
        <i x="492" s="1"/>
        <i x="354" s="1"/>
        <i x="20" s="1"/>
        <i x="398" s="1"/>
        <i x="367" s="1"/>
        <i x="340" s="1"/>
        <i x="270" s="1"/>
        <i x="68" s="1"/>
        <i x="4" s="1"/>
        <i x="170" s="1"/>
        <i x="121" s="1"/>
        <i x="125" s="1"/>
        <i x="478" s="1"/>
        <i x="7" s="1"/>
        <i x="458" s="1"/>
        <i x="36" s="1"/>
        <i x="64" s="1"/>
        <i x="293" s="1"/>
        <i x="400" s="1"/>
        <i x="13" s="1"/>
        <i x="248" s="1"/>
        <i x="456" s="1"/>
        <i x="39" s="1"/>
        <i x="469" s="1"/>
        <i x="169" s="1"/>
        <i x="379" s="1"/>
        <i x="126" s="1"/>
        <i x="498" s="1"/>
        <i x="447" s="1"/>
        <i x="106" s="1"/>
        <i x="314" s="1"/>
        <i x="285" s="1"/>
        <i x="35" s="1"/>
        <i x="23" s="1"/>
        <i x="464" s="1"/>
        <i x="479" s="1"/>
        <i x="249" s="1"/>
        <i x="320" s="1"/>
        <i x="327" s="1"/>
        <i x="195" s="1"/>
        <i x="192" s="1"/>
        <i x="37" s="1"/>
        <i x="165" s="1"/>
        <i x="220" s="1"/>
        <i x="116" s="1"/>
        <i x="254" s="1"/>
        <i x="347" s="1"/>
        <i x="48" s="1"/>
        <i x="31" s="1"/>
        <i x="227" s="1"/>
        <i x="497" s="1"/>
        <i x="45" s="1"/>
        <i x="278" s="1"/>
        <i x="222" s="1"/>
        <i x="255" s="1"/>
        <i x="437" s="1"/>
        <i x="493" s="1"/>
        <i x="378" s="1"/>
        <i x="468" s="1"/>
        <i x="306" s="1"/>
        <i x="330" s="1"/>
        <i x="132" s="1"/>
        <i x="228" s="1"/>
        <i x="350" s="1"/>
        <i x="111" s="1"/>
        <i x="476" s="1"/>
        <i x="328" s="1"/>
        <i x="321" s="1"/>
        <i x="102" s="1"/>
        <i x="237" s="1"/>
        <i x="474" s="1"/>
        <i x="250" s="1"/>
        <i x="483" s="1"/>
        <i x="470" s="1"/>
        <i x="217" s="1"/>
        <i x="41" s="1"/>
        <i x="392" s="1"/>
        <i x="326" s="1"/>
        <i x="113" s="1"/>
        <i x="162" s="1"/>
        <i x="325" s="1"/>
        <i x="300" s="1"/>
        <i x="202" s="1"/>
        <i x="399" s="1"/>
        <i x="38" s="1"/>
        <i x="86" s="1"/>
        <i x="207" s="1"/>
        <i x="316" s="1"/>
        <i x="471" s="1"/>
        <i x="256" s="1"/>
        <i x="309" s="1"/>
        <i x="204" s="1"/>
        <i x="253" s="1"/>
        <i x="259" s="1"/>
        <i x="117" s="1"/>
        <i x="60" s="1"/>
        <i x="210" s="1"/>
        <i x="236" s="1"/>
        <i x="78" s="1"/>
        <i x="160" s="1"/>
        <i x="219" s="1"/>
        <i x="84" s="1"/>
        <i x="404" s="1"/>
        <i x="281" s="1"/>
        <i x="482" s="1"/>
        <i x="213" s="1"/>
        <i x="485" s="1"/>
        <i x="186" s="1"/>
        <i x="52" s="1"/>
        <i x="446" s="1"/>
        <i x="351" s="1"/>
        <i x="310" s="1"/>
        <i x="44" s="1"/>
        <i x="100" s="1"/>
        <i x="409" s="1"/>
        <i x="362" s="1"/>
        <i x="385" s="1"/>
        <i x="445" s="1"/>
        <i x="451" s="1"/>
        <i x="332" s="1"/>
        <i x="434" s="1"/>
        <i x="174" s="1"/>
        <i x="197" s="1"/>
        <i x="407" s="1"/>
        <i x="324" s="1"/>
        <i x="22" s="1"/>
        <i x="481" s="1"/>
        <i x="74" s="1"/>
        <i x="266" s="1"/>
        <i x="147" s="1"/>
        <i x="393" s="1"/>
        <i x="203" s="1"/>
        <i x="410" s="1"/>
        <i x="274" s="1"/>
        <i x="182" s="1"/>
        <i x="432" s="1"/>
        <i x="61" s="1"/>
        <i x="499" s="1"/>
        <i x="59" s="1"/>
        <i x="94" s="1"/>
        <i x="337" s="1"/>
        <i x="431" s="1"/>
        <i x="18" s="1"/>
        <i x="146" s="1"/>
        <i x="183" s="1"/>
        <i x="264" s="1"/>
        <i x="180" s="1"/>
        <i x="313" s="1"/>
        <i x="448" s="1"/>
        <i x="46" s="1"/>
        <i x="152" s="1"/>
        <i x="428" s="1"/>
        <i x="209" s="1"/>
        <i x="416" s="1"/>
        <i x="73" s="1"/>
        <i x="301" s="1"/>
        <i x="75" s="1"/>
        <i x="166" s="1"/>
        <i x="148" s="1"/>
        <i x="14" s="1"/>
        <i x="341" s="1"/>
        <i x="63" s="1"/>
        <i x="109" s="1"/>
        <i x="57" s="1"/>
        <i x="185" s="1"/>
        <i x="143" s="1"/>
        <i x="423" s="1"/>
        <i x="444" s="1"/>
        <i x="284" s="1"/>
        <i x="27" s="1"/>
        <i x="331" s="1"/>
        <i x="91" s="1"/>
        <i x="251" s="1"/>
        <i x="199" s="1"/>
        <i x="438" s="1"/>
        <i x="436" s="1"/>
        <i x="261" s="1"/>
        <i x="10" s="1"/>
        <i x="455" s="1"/>
        <i x="241" s="1"/>
        <i x="417" s="1"/>
        <i x="200" s="1"/>
        <i x="98" s="1"/>
        <i x="176" s="1"/>
        <i x="422" s="1"/>
        <i x="450" s="1"/>
        <i x="484" s="1"/>
        <i x="79" s="1"/>
        <i x="383" s="1"/>
        <i x="58" s="1"/>
        <i x="439" s="1"/>
        <i x="123" s="1"/>
        <i x="136" s="1"/>
        <i x="107" s="1"/>
        <i x="70" s="1"/>
        <i x="387" s="1"/>
        <i x="343" s="1"/>
        <i x="51" s="1"/>
        <i x="55" s="1"/>
        <i x="157" s="1"/>
        <i x="49" s="1"/>
        <i x="271" s="1"/>
        <i x="276" s="1"/>
        <i x="97" s="1"/>
        <i x="302" s="1"/>
        <i x="397" s="1"/>
        <i x="172" s="1"/>
        <i x="291" s="1"/>
        <i x="156" s="1"/>
        <i x="221" s="1"/>
        <i x="33" s="1"/>
        <i x="357" s="1"/>
        <i x="282" s="1"/>
        <i x="184" s="1"/>
        <i x="375" s="1"/>
        <i x="115" s="1"/>
        <i x="1" s="1"/>
        <i x="353" s="1"/>
        <i x="299" s="1"/>
        <i x="72" s="1"/>
        <i x="85" s="1"/>
        <i x="495" s="1"/>
        <i x="161" s="1"/>
        <i x="289" s="1"/>
        <i x="336" s="1"/>
        <i x="496" s="1"/>
        <i x="108" s="1"/>
        <i x="280" s="1"/>
        <i x="401" s="1"/>
        <i x="427" s="1"/>
        <i x="239" s="1"/>
        <i x="388" s="1"/>
        <i x="425" s="1"/>
        <i x="429" s="1"/>
        <i x="3" s="1"/>
        <i x="475" s="1"/>
        <i x="412" s="1"/>
        <i x="122" s="1"/>
        <i x="472" s="1"/>
        <i x="334" s="1"/>
        <i x="389" s="1"/>
        <i x="188" s="1"/>
        <i x="473" s="1"/>
        <i x="487" s="1"/>
        <i x="151" s="1"/>
        <i x="371" s="1"/>
        <i x="269" s="1"/>
        <i x="6" s="1"/>
        <i x="114" s="1"/>
        <i x="304" s="1"/>
        <i x="374" s="1"/>
        <i x="88" s="1"/>
        <i x="232" s="1"/>
        <i x="71" s="1"/>
        <i x="124" s="1"/>
        <i x="69" s="1"/>
        <i x="296" s="1"/>
        <i x="415" s="1"/>
        <i x="119" s="1"/>
        <i x="418" s="1"/>
        <i x="411" s="1"/>
        <i x="312" s="1"/>
        <i x="452" s="1"/>
        <i x="370" s="1"/>
        <i x="216" s="1"/>
        <i x="211" s="1"/>
        <i x="77" s="1"/>
        <i x="273" s="1"/>
        <i x="29" s="1"/>
        <i x="225" s="1"/>
        <i x="315" s="1"/>
        <i x="345" s="1"/>
        <i x="491" s="1"/>
        <i x="53" s="1"/>
        <i x="101" s="1"/>
        <i x="283" s="1"/>
        <i x="105" s="1"/>
        <i x="187" s="1"/>
        <i x="235" s="1"/>
        <i x="263" s="1"/>
        <i x="449" s="1"/>
        <i x="22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F44ABEBD-623E-4747-8772-73B8E15B532E}" sourceName="Sex">
  <pivotTables>
    <pivotTable tabId="7" name="top 10 artist"/>
  </pivotTables>
  <data>
    <tabular pivotCacheId="1271743669">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_Type" xr10:uid="{40F0F5A4-09D7-4002-9AB4-7E8F56EA3D64}" sourceName=" Artist Type">
  <pivotTables>
    <pivotTable tabId="4" name="group vs solo"/>
    <pivotTable tabId="4" name="genre group solo"/>
    <pivotTable tabId="7" name="top 10 artist"/>
    <pivotTable tabId="10" name="Language"/>
    <pivotTable tabId="10" name="artist language"/>
  </pivotTables>
  <data>
    <tabular pivotCacheId="1271743669">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of_Origin1" xr10:uid="{D40FAB1D-9887-421F-A948-71DFF2A5FF56}" sourceName="Country of Origin">
  <pivotTables>
    <pivotTable tabId="7" name="top 10 artist"/>
    <pivotTable tabId="8" name="stream per country"/>
  </pivotTables>
  <data>
    <tabular pivotCacheId="1271743669">
      <items count="43">
        <i x="22" s="1"/>
        <i x="11" s="1"/>
        <i x="39" s="1"/>
        <i x="3" s="1"/>
        <i x="34" s="1"/>
        <i x="17" s="1"/>
        <i x="0" s="1"/>
        <i x="27" s="1"/>
        <i x="4" s="1"/>
        <i x="13" s="1"/>
        <i x="41" s="1"/>
        <i x="33" s="1"/>
        <i x="35" s="1"/>
        <i x="7" s="1"/>
        <i x="12" s="1"/>
        <i x="38" s="1"/>
        <i x="42" s="1"/>
        <i x="8" s="1"/>
        <i x="21" s="1"/>
        <i x="32" s="1"/>
        <i x="19" s="1"/>
        <i x="24" s="1"/>
        <i x="10" s="1"/>
        <i x="26" s="1"/>
        <i x="36" s="1"/>
        <i x="18" s="1"/>
        <i x="25" s="1"/>
        <i x="29" s="1"/>
        <i x="15" s="1"/>
        <i x="37" s="1"/>
        <i x="16" s="1"/>
        <i x="40" s="1"/>
        <i x="28" s="1"/>
        <i x="9" s="1"/>
        <i x="20" s="1"/>
        <i x="30" s="1"/>
        <i x="5" s="1"/>
        <i x="23" s="1"/>
        <i x="14" s="1"/>
        <i x="6" s="1"/>
        <i x="2" s="1"/>
        <i x="1" s="1"/>
        <i x="3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1" xr10:uid="{5074F874-C308-42CA-8979-73FB07BC8A8D}" sourceName="Sex">
  <pivotTables>
    <pivotTable tabId="4" name="genre group solo"/>
  </pivotTables>
  <data>
    <tabular pivotCacheId="1271743669">
      <items count="3">
        <i x="1" s="1"/>
        <i x="0"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of_Origin" xr10:uid="{CBA4D541-131E-4335-B458-B7A447D526EE}" sourceName="Country of Origin">
  <pivotTables>
    <pivotTable tabId="4" name="genre group solo"/>
  </pivotTables>
  <data>
    <tabular pivotCacheId="1271743669">
      <items count="43">
        <i x="22" s="1"/>
        <i x="11" s="1"/>
        <i x="39" s="1"/>
        <i x="3" s="1"/>
        <i x="34" s="1"/>
        <i x="17" s="1"/>
        <i x="0" s="1"/>
        <i x="27" s="1"/>
        <i x="4" s="1"/>
        <i x="13" s="1"/>
        <i x="41" s="1"/>
        <i x="33" s="1"/>
        <i x="35" s="1"/>
        <i x="7" s="1"/>
        <i x="12" s="1"/>
        <i x="38" s="1"/>
        <i x="42" s="1"/>
        <i x="8" s="1"/>
        <i x="21" s="1"/>
        <i x="32" s="1"/>
        <i x="19" s="1"/>
        <i x="24" s="1"/>
        <i x="10" s="1"/>
        <i x="26" s="1"/>
        <i x="36" s="1"/>
        <i x="18" s="1"/>
        <i x="25" s="1"/>
        <i x="29" s="1"/>
        <i x="15" s="1"/>
        <i x="37" s="1"/>
        <i x="16" s="1"/>
        <i x="40" s="1"/>
        <i x="28" s="1"/>
        <i x="9" s="1"/>
        <i x="20" s="1"/>
        <i x="30" s="1"/>
        <i x="5" s="1"/>
        <i x="23" s="1"/>
        <i x="14" s="1"/>
        <i x="6" s="1"/>
        <i x="2" s="1"/>
        <i x="1" s="1"/>
        <i x="3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Language" xr10:uid="{EBFF45A1-96BB-4F13-A205-4C3CEF49FD0D}" sourceName="Primary Language">
  <pivotTables>
    <pivotTable tabId="10" name="Language"/>
    <pivotTable tabId="10" name="artist language"/>
  </pivotTables>
  <data>
    <tabular pivotCacheId="1271743669">
      <items count="11">
        <i x="0" s="1"/>
        <i x="7" s="1"/>
        <i x="4" s="1"/>
        <i x="3" s="1"/>
        <i x="8" s="1"/>
        <i x="2" s="1"/>
        <i x="5" s="1"/>
        <i x="10" s="1"/>
        <i x="1" s="1"/>
        <i x="6"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Genre 2" xr10:uid="{992371D7-A749-499B-B840-3AFCF1B0338D}" cache="Slicer_Primary_Genre1" caption="Primary Genre" style="SlicerStyleDark3" rowHeight="247650"/>
  <slicer name="Artist Name 2" xr10:uid="{47D083C0-41F5-4534-BF69-4673098308D4}" cache="Slicer_Artist_Name2" caption="Artist Name" startItem="44" style="SlicerStyleDark3" rowHeight="247650"/>
  <slicer name="Sex 1" xr10:uid="{F3799C9E-36A6-4CBC-B8A9-3BDA46019FD5}" cache="Slicer_Sex" caption="Sex" style="SlicerStyleDark3" rowHeight="247650"/>
  <slicer name=" Artist Type 1" xr10:uid="{27F7198C-88A8-43BB-940A-58E206724553}" cache="Slicer_Artist_Type" caption=" Artist Type" style="SlicerStyleDark3" rowHeight="247650"/>
  <slicer name="Country of Origin 3" xr10:uid="{058F7A2C-02D5-4D99-98AF-B6B37A17CEC6}" cache="Slicer_Country_of_Origin1" caption="Country of Origin" style="SlicerStyleDark3" rowHeight="247650"/>
  <slicer name="Primary Language 1" xr10:uid="{63FC28B7-3E21-4390-B033-BE9406E600A2}" cache="Slicer_Primary_Language" caption="Primary Language" startItem="2" style="SlicerStyleDark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st Name 3" xr10:uid="{68C144F1-D49A-43DB-800C-E21E7A97AD92}" cache="Slicer_Artist_Name2" caption="Artist Nam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Genre" xr10:uid="{68AA4955-627A-4696-AEE7-E5CE76D970D2}" cache="Slicer_Primary_Genre1" caption="Primary Genr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1204DE36-91ED-4030-9474-50C4FF2EF22D}" cache="Slicer_Sex" caption="Sex" rowHeight="247650"/>
  <slicer name=" Artist Type" xr10:uid="{75EE62A4-43F2-4809-8F35-BD5C1AF6CD24}" cache="Slicer_Artist_Type" caption=" Artist Type"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of Origin 2" xr10:uid="{20171ED6-396C-4F97-AF7C-59D106DB80A1}" cache="Slicer_Country_of_Origin1" caption="Country of Origin"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2" xr10:uid="{FA7AFB09-D097-41E6-B4EB-3C78091676C8}" cache="Slicer_Sex1" caption="Sex" rowHeight="247650"/>
  <slicer name="Country of Origin" xr10:uid="{035CE5D2-408B-4026-99E3-D43B4C93DF6E}" cache="Slicer_Country_of_Origin" caption="Country of Origin" startItem="36"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st Name 4" xr10:uid="{D07AD69B-7DFC-49E8-8FB4-5EB517758D55}" cache="Slicer_Artist_Name2" caption="Artist Name" rowHeight="2476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Language" xr10:uid="{1783F171-03D3-4378-8D3C-630AF8AD162B}" cache="Slicer_Primary_Language" caption="Primary Language" startItem="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BF7019-42CC-4EB5-9009-657AFA5BC8AF}" name="Table1" displayName="Table1" ref="A1:N501" totalsRowShown="0">
  <autoFilter ref="A1:N501" xr:uid="{AEBF7019-42CC-4EB5-9009-657AFA5BC8AF}"/>
  <tableColumns count="14">
    <tableColumn id="1" xr3:uid="{8D057431-7BE7-48A3-BE6C-C348B1EF31CC}" name="Artist Name"/>
    <tableColumn id="2" xr3:uid="{4CDE5F42-CE82-4D13-9CC3-73C135E60B2B}" name="Sex"/>
    <tableColumn id="3" xr3:uid="{91CE7624-0739-4D1C-B060-793CC3A4E9B1}" name="Country of Origin"/>
    <tableColumn id="4" xr3:uid="{091A4305-E457-4E0B-B919-FDF26F72D9B7}" name="Primary Language"/>
    <tableColumn id="5" xr3:uid="{1B57DEF2-DBD7-4534-A51F-FCCA250FEB05}" name="Primary Genre"/>
    <tableColumn id="6" xr3:uid="{908D679A-C4B7-4212-B26E-1E1EDB5F91FB}" name=" Artist Type"/>
    <tableColumn id="7" xr3:uid="{AAD28424-911F-42B7-AF6D-C977EB00EE79}" name="Debut Year"/>
    <tableColumn id="8" xr3:uid="{3EE254BE-D721-446B-A72E-D86137CBF020}" name="Total Streams (in millions)"/>
    <tableColumn id="9" xr3:uid="{888B508D-B69D-4CB6-8B09-B0302CCDF08B}" name="Lead Streams (in millions)"/>
    <tableColumn id="10" xr3:uid="{57212777-97C5-4EE1-BEEF-3B1FB9C97CCF}" name="Feature Streams (in millions)"/>
    <tableColumn id="11" xr3:uid="{D744A635-F79E-428C-9A9F-799223B8F890}" name="Solo Streams (in millions)"/>
    <tableColumn id="14" xr3:uid="{C1622C7F-F0BE-417D-B15F-839255A75B1C}" name="% of Solo Streams" dataCellStyle="Percent"/>
    <tableColumn id="13" xr3:uid="{D38D6DC3-8F4F-46E6-81C0-AE5776401B36}" name="Collaborative Streams (in millions)"/>
    <tableColumn id="15" xr3:uid="{7846533D-1FB9-49DD-8E01-01B66D09E471}" name="% of Collaborative Streams" totalsRowDxfId="1" dataCellStyle="Percent"/>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microsoft.com/office/2007/relationships/slicer" Target="../slicers/slicer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EBC5F-B947-4482-AA07-209BB65FDFF3}">
  <dimension ref="A1"/>
  <sheetViews>
    <sheetView tabSelected="1" zoomScale="69" zoomScaleNormal="100" workbookViewId="0">
      <selection activeCell="K85" sqref="K85"/>
    </sheetView>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90BF-5E38-4F9B-B05E-A66ECE88ED1F}">
  <dimension ref="A1:N503"/>
  <sheetViews>
    <sheetView zoomScale="94" zoomScaleNormal="85" workbookViewId="0"/>
  </sheetViews>
  <sheetFormatPr defaultRowHeight="14.4" x14ac:dyDescent="0.3"/>
  <cols>
    <col min="1" max="1" width="29.77734375" bestFit="1" customWidth="1"/>
    <col min="2" max="2" width="7" bestFit="1" customWidth="1"/>
    <col min="3" max="3" width="17.21875" bestFit="1" customWidth="1"/>
    <col min="4" max="4" width="17.44140625" customWidth="1"/>
    <col min="5" max="5" width="15" bestFit="1" customWidth="1"/>
    <col min="6" max="6" width="12" customWidth="1"/>
    <col min="7" max="7" width="11.88671875" customWidth="1"/>
    <col min="8" max="8" width="24.6640625" customWidth="1"/>
    <col min="9" max="9" width="24.5546875" customWidth="1"/>
    <col min="10" max="10" width="26.88671875" customWidth="1"/>
    <col min="11" max="11" width="24.21875" customWidth="1"/>
    <col min="12" max="12" width="17.6640625" customWidth="1"/>
    <col min="13" max="13" width="31.77734375" customWidth="1"/>
    <col min="14" max="14" width="28" bestFit="1" customWidth="1"/>
  </cols>
  <sheetData>
    <row r="1" spans="1:14" x14ac:dyDescent="0.3">
      <c r="A1" t="s">
        <v>0</v>
      </c>
      <c r="B1" t="s">
        <v>1</v>
      </c>
      <c r="C1" t="s">
        <v>2</v>
      </c>
      <c r="D1" t="s">
        <v>3</v>
      </c>
      <c r="E1" t="s">
        <v>4</v>
      </c>
      <c r="F1" t="s">
        <v>5</v>
      </c>
      <c r="G1" t="s">
        <v>6</v>
      </c>
      <c r="H1" t="s">
        <v>7</v>
      </c>
      <c r="I1" t="s">
        <v>8</v>
      </c>
      <c r="J1" t="s">
        <v>9</v>
      </c>
      <c r="K1" t="s">
        <v>10</v>
      </c>
      <c r="L1" t="s">
        <v>11</v>
      </c>
      <c r="M1" t="s">
        <v>12</v>
      </c>
      <c r="N1" s="4" t="s">
        <v>13</v>
      </c>
    </row>
    <row r="2" spans="1:14" x14ac:dyDescent="0.3">
      <c r="A2" t="s">
        <v>14</v>
      </c>
      <c r="B2" t="s">
        <v>15</v>
      </c>
      <c r="C2" t="s">
        <v>16</v>
      </c>
      <c r="D2" t="s">
        <v>17</v>
      </c>
      <c r="E2" t="s">
        <v>18</v>
      </c>
      <c r="F2" t="s">
        <v>19</v>
      </c>
      <c r="G2">
        <v>2006</v>
      </c>
      <c r="H2">
        <v>137492.1</v>
      </c>
      <c r="I2">
        <v>94851.1</v>
      </c>
      <c r="J2">
        <v>42640.9</v>
      </c>
      <c r="K2">
        <v>53323.9</v>
      </c>
      <c r="L2" s="5">
        <v>0.38783246459999998</v>
      </c>
      <c r="M2">
        <v>84168.2</v>
      </c>
      <c r="N2" s="5">
        <v>0.61216753540000002</v>
      </c>
    </row>
    <row r="3" spans="1:14" x14ac:dyDescent="0.3">
      <c r="A3" t="s">
        <v>20</v>
      </c>
      <c r="B3" t="s">
        <v>21</v>
      </c>
      <c r="C3" t="s">
        <v>22</v>
      </c>
      <c r="D3" t="s">
        <v>17</v>
      </c>
      <c r="E3" t="s">
        <v>23</v>
      </c>
      <c r="F3" t="s">
        <v>19</v>
      </c>
      <c r="G3">
        <v>2006</v>
      </c>
      <c r="H3">
        <v>127861</v>
      </c>
      <c r="I3">
        <v>126177.3</v>
      </c>
      <c r="J3">
        <v>1683.8</v>
      </c>
      <c r="K3">
        <v>113421.5</v>
      </c>
      <c r="L3" s="5">
        <v>0.88706877000000006</v>
      </c>
      <c r="M3">
        <v>14439.5</v>
      </c>
      <c r="N3" s="5">
        <v>0.11293122999999999</v>
      </c>
    </row>
    <row r="4" spans="1:14" x14ac:dyDescent="0.3">
      <c r="A4" t="s">
        <v>24</v>
      </c>
      <c r="B4" t="s">
        <v>15</v>
      </c>
      <c r="C4" t="s">
        <v>22</v>
      </c>
      <c r="D4" t="s">
        <v>25</v>
      </c>
      <c r="E4" t="s">
        <v>26</v>
      </c>
      <c r="F4" t="s">
        <v>19</v>
      </c>
      <c r="G4">
        <v>2013</v>
      </c>
      <c r="H4">
        <v>125899.8</v>
      </c>
      <c r="I4">
        <v>82189.3</v>
      </c>
      <c r="J4">
        <v>43710.5</v>
      </c>
      <c r="K4">
        <v>48887</v>
      </c>
      <c r="L4" s="5">
        <v>0.38830085510000001</v>
      </c>
      <c r="M4">
        <v>77012.800000000003</v>
      </c>
      <c r="N4" s="5">
        <v>0.61169914489999999</v>
      </c>
    </row>
    <row r="5" spans="1:14" x14ac:dyDescent="0.3">
      <c r="A5" t="s">
        <v>27</v>
      </c>
      <c r="B5" t="s">
        <v>15</v>
      </c>
      <c r="C5" t="s">
        <v>16</v>
      </c>
      <c r="D5" t="s">
        <v>17</v>
      </c>
      <c r="E5" t="s">
        <v>28</v>
      </c>
      <c r="F5" t="s">
        <v>19</v>
      </c>
      <c r="G5">
        <v>2009</v>
      </c>
      <c r="H5">
        <v>95703.2</v>
      </c>
      <c r="I5">
        <v>77189.399999999994</v>
      </c>
      <c r="J5">
        <v>18513.8</v>
      </c>
      <c r="K5">
        <v>51020</v>
      </c>
      <c r="L5" s="5">
        <v>0.533106521</v>
      </c>
      <c r="M5">
        <v>44683.199999999997</v>
      </c>
      <c r="N5" s="5">
        <v>0.466893479</v>
      </c>
    </row>
    <row r="6" spans="1:14" x14ac:dyDescent="0.3">
      <c r="A6" t="s">
        <v>29</v>
      </c>
      <c r="B6" t="s">
        <v>15</v>
      </c>
      <c r="C6" t="s">
        <v>16</v>
      </c>
      <c r="D6" t="s">
        <v>17</v>
      </c>
      <c r="E6" t="s">
        <v>23</v>
      </c>
      <c r="F6" t="s">
        <v>19</v>
      </c>
      <c r="G6">
        <v>2009</v>
      </c>
      <c r="H6">
        <v>78104.399999999994</v>
      </c>
      <c r="I6">
        <v>48316.2</v>
      </c>
      <c r="J6">
        <v>29788.2</v>
      </c>
      <c r="K6">
        <v>29638.3</v>
      </c>
      <c r="L6" s="5">
        <v>0.37947029870000004</v>
      </c>
      <c r="M6">
        <v>48466.1</v>
      </c>
      <c r="N6" s="5">
        <v>0.62052970129999996</v>
      </c>
    </row>
    <row r="7" spans="1:14" x14ac:dyDescent="0.3">
      <c r="A7" t="s">
        <v>30</v>
      </c>
      <c r="B7" t="s">
        <v>21</v>
      </c>
      <c r="C7" t="s">
        <v>22</v>
      </c>
      <c r="D7" t="s">
        <v>17</v>
      </c>
      <c r="E7" t="s">
        <v>23</v>
      </c>
      <c r="F7" t="s">
        <v>19</v>
      </c>
      <c r="G7">
        <v>2013</v>
      </c>
      <c r="H7">
        <v>68298.899999999994</v>
      </c>
      <c r="I7">
        <v>57097.5</v>
      </c>
      <c r="J7">
        <v>11201.4</v>
      </c>
      <c r="K7">
        <v>41615.5</v>
      </c>
      <c r="L7" s="5">
        <v>0.60931435209999996</v>
      </c>
      <c r="M7">
        <v>26683.4</v>
      </c>
      <c r="N7" s="5">
        <v>0.39068564790000004</v>
      </c>
    </row>
    <row r="8" spans="1:14" x14ac:dyDescent="0.3">
      <c r="A8" t="s">
        <v>31</v>
      </c>
      <c r="B8" t="s">
        <v>15</v>
      </c>
      <c r="C8" t="s">
        <v>22</v>
      </c>
      <c r="D8" t="s">
        <v>17</v>
      </c>
      <c r="E8" t="s">
        <v>18</v>
      </c>
      <c r="F8" t="s">
        <v>19</v>
      </c>
      <c r="G8">
        <v>2013</v>
      </c>
      <c r="H8">
        <v>65349.7</v>
      </c>
      <c r="I8">
        <v>35338.699999999997</v>
      </c>
      <c r="J8">
        <v>30027</v>
      </c>
      <c r="K8">
        <v>25309.9</v>
      </c>
      <c r="L8" s="5">
        <v>0.38729940610000002</v>
      </c>
      <c r="M8">
        <v>40039.800000000003</v>
      </c>
      <c r="N8" s="5">
        <v>0.61270059389999998</v>
      </c>
    </row>
    <row r="9" spans="1:14" x14ac:dyDescent="0.3">
      <c r="A9" t="s">
        <v>32</v>
      </c>
      <c r="B9" t="s">
        <v>15</v>
      </c>
      <c r="C9" t="s">
        <v>22</v>
      </c>
      <c r="D9" t="s">
        <v>17</v>
      </c>
      <c r="E9" t="s">
        <v>18</v>
      </c>
      <c r="F9" t="s">
        <v>19</v>
      </c>
      <c r="G9">
        <v>2004</v>
      </c>
      <c r="H9">
        <v>65142.9</v>
      </c>
      <c r="I9">
        <v>46558.400000000001</v>
      </c>
      <c r="J9">
        <v>18584.5</v>
      </c>
      <c r="K9">
        <v>28473</v>
      </c>
      <c r="L9" s="5">
        <v>0.4370852388</v>
      </c>
      <c r="M9">
        <v>36669.9</v>
      </c>
      <c r="N9" s="5">
        <v>0.56291476119999995</v>
      </c>
    </row>
    <row r="10" spans="1:14" x14ac:dyDescent="0.3">
      <c r="A10" t="s">
        <v>33</v>
      </c>
      <c r="B10" t="s">
        <v>15</v>
      </c>
      <c r="C10" t="s">
        <v>34</v>
      </c>
      <c r="D10" t="s">
        <v>17</v>
      </c>
      <c r="E10" t="s">
        <v>23</v>
      </c>
      <c r="F10" t="s">
        <v>19</v>
      </c>
      <c r="G10">
        <v>2011</v>
      </c>
      <c r="H10">
        <v>64656.9</v>
      </c>
      <c r="I10">
        <v>57704</v>
      </c>
      <c r="J10">
        <v>6967.8</v>
      </c>
      <c r="K10">
        <v>46700</v>
      </c>
      <c r="L10" s="5">
        <v>0.72227403420000003</v>
      </c>
      <c r="M10">
        <v>17956.900000000001</v>
      </c>
      <c r="N10" s="5">
        <v>0.27772596579999997</v>
      </c>
    </row>
    <row r="11" spans="1:14" x14ac:dyDescent="0.3">
      <c r="A11" t="s">
        <v>35</v>
      </c>
      <c r="B11" t="s">
        <v>15</v>
      </c>
      <c r="C11" t="s">
        <v>22</v>
      </c>
      <c r="D11" t="s">
        <v>17</v>
      </c>
      <c r="E11" t="s">
        <v>18</v>
      </c>
      <c r="F11" t="s">
        <v>19</v>
      </c>
      <c r="G11">
        <v>1996</v>
      </c>
      <c r="H11">
        <v>64549</v>
      </c>
      <c r="I11">
        <v>54466.8</v>
      </c>
      <c r="J11">
        <v>10100.700000000001</v>
      </c>
      <c r="K11">
        <v>32940</v>
      </c>
      <c r="L11" s="5">
        <v>0.51030999710000002</v>
      </c>
      <c r="M11">
        <v>31609</v>
      </c>
      <c r="N11" s="5">
        <v>0.48969000289999998</v>
      </c>
    </row>
    <row r="12" spans="1:14" x14ac:dyDescent="0.3">
      <c r="A12" t="s">
        <v>36</v>
      </c>
      <c r="B12" t="s">
        <v>21</v>
      </c>
      <c r="C12" t="s">
        <v>37</v>
      </c>
      <c r="D12" t="s">
        <v>17</v>
      </c>
      <c r="E12" t="s">
        <v>23</v>
      </c>
      <c r="F12" t="s">
        <v>19</v>
      </c>
      <c r="G12">
        <v>2005</v>
      </c>
      <c r="H12">
        <v>60670.7</v>
      </c>
      <c r="I12">
        <v>44824.4</v>
      </c>
      <c r="J12">
        <v>15846.4</v>
      </c>
      <c r="K12">
        <v>30261.8</v>
      </c>
      <c r="L12" s="5">
        <v>0.49878771800000005</v>
      </c>
      <c r="M12">
        <v>30408.9</v>
      </c>
      <c r="N12" s="5">
        <v>0.50121228200000001</v>
      </c>
    </row>
    <row r="13" spans="1:14" x14ac:dyDescent="0.3">
      <c r="A13" t="s">
        <v>38</v>
      </c>
      <c r="B13" t="s">
        <v>21</v>
      </c>
      <c r="C13" t="s">
        <v>22</v>
      </c>
      <c r="D13" t="s">
        <v>17</v>
      </c>
      <c r="E13" t="s">
        <v>23</v>
      </c>
      <c r="F13" t="s">
        <v>19</v>
      </c>
      <c r="G13">
        <v>2015</v>
      </c>
      <c r="H13">
        <v>58049.5</v>
      </c>
      <c r="I13">
        <v>57160.1</v>
      </c>
      <c r="J13">
        <v>889.4</v>
      </c>
      <c r="K13">
        <v>51567.9</v>
      </c>
      <c r="L13" s="5">
        <v>0.88834356889999999</v>
      </c>
      <c r="M13">
        <v>6481.6</v>
      </c>
      <c r="N13" s="5">
        <v>0.11165643109999999</v>
      </c>
    </row>
    <row r="14" spans="1:14" x14ac:dyDescent="0.3">
      <c r="A14" t="s">
        <v>39</v>
      </c>
      <c r="B14" t="s">
        <v>15</v>
      </c>
      <c r="C14" t="s">
        <v>22</v>
      </c>
      <c r="D14" t="s">
        <v>17</v>
      </c>
      <c r="E14" t="s">
        <v>23</v>
      </c>
      <c r="F14" t="s">
        <v>19</v>
      </c>
      <c r="G14">
        <v>2010</v>
      </c>
      <c r="H14">
        <v>56727.1</v>
      </c>
      <c r="I14">
        <v>40714</v>
      </c>
      <c r="J14">
        <v>16013.1</v>
      </c>
      <c r="K14">
        <v>33618.1</v>
      </c>
      <c r="L14" s="5">
        <v>0.59262856730000002</v>
      </c>
      <c r="M14">
        <v>23109</v>
      </c>
      <c r="N14" s="5">
        <v>0.40737143269999998</v>
      </c>
    </row>
    <row r="15" spans="1:14" x14ac:dyDescent="0.3">
      <c r="A15" t="s">
        <v>40</v>
      </c>
      <c r="B15" t="s">
        <v>15</v>
      </c>
      <c r="C15" t="s">
        <v>22</v>
      </c>
      <c r="D15" t="s">
        <v>17</v>
      </c>
      <c r="E15" t="s">
        <v>18</v>
      </c>
      <c r="F15" t="s">
        <v>19</v>
      </c>
      <c r="G15">
        <v>2009</v>
      </c>
      <c r="H15">
        <v>56459.5</v>
      </c>
      <c r="I15">
        <v>40752.199999999997</v>
      </c>
      <c r="J15">
        <v>15725</v>
      </c>
      <c r="K15">
        <v>23403.5</v>
      </c>
      <c r="L15" s="5">
        <v>0.41451837159999999</v>
      </c>
      <c r="M15">
        <v>33056</v>
      </c>
      <c r="N15" s="5">
        <v>0.58548162840000006</v>
      </c>
    </row>
    <row r="16" spans="1:14" x14ac:dyDescent="0.3">
      <c r="A16" t="s">
        <v>41</v>
      </c>
      <c r="B16" t="s">
        <v>15</v>
      </c>
      <c r="C16" t="s">
        <v>22</v>
      </c>
      <c r="D16" t="s">
        <v>17</v>
      </c>
      <c r="E16" t="s">
        <v>23</v>
      </c>
      <c r="F16" t="s">
        <v>19</v>
      </c>
      <c r="G16">
        <v>2011</v>
      </c>
      <c r="H16">
        <v>55028.3</v>
      </c>
      <c r="I16">
        <v>48805.599999999999</v>
      </c>
      <c r="J16">
        <v>6235.6</v>
      </c>
      <c r="K16">
        <v>25419.4</v>
      </c>
      <c r="L16" s="5">
        <v>0.46193322350000005</v>
      </c>
      <c r="M16">
        <v>29608.9</v>
      </c>
      <c r="N16" s="5">
        <v>0.53806677650000001</v>
      </c>
    </row>
    <row r="17" spans="1:14" x14ac:dyDescent="0.3">
      <c r="A17" t="s">
        <v>42</v>
      </c>
      <c r="B17" t="s">
        <v>15</v>
      </c>
      <c r="C17" t="s">
        <v>43</v>
      </c>
      <c r="D17" t="s">
        <v>25</v>
      </c>
      <c r="E17" t="s">
        <v>26</v>
      </c>
      <c r="F17" t="s">
        <v>19</v>
      </c>
      <c r="G17">
        <v>2004</v>
      </c>
      <c r="H17">
        <v>54649.2</v>
      </c>
      <c r="I17">
        <v>25333.3</v>
      </c>
      <c r="J17">
        <v>29334</v>
      </c>
      <c r="K17">
        <v>7844.5</v>
      </c>
      <c r="L17" s="5">
        <v>0.14354281490000001</v>
      </c>
      <c r="M17">
        <v>46804.7</v>
      </c>
      <c r="N17" s="5">
        <v>0.85645718509999991</v>
      </c>
    </row>
    <row r="18" spans="1:14" x14ac:dyDescent="0.3">
      <c r="A18" t="s">
        <v>44</v>
      </c>
      <c r="B18" t="s">
        <v>15</v>
      </c>
      <c r="C18" t="s">
        <v>22</v>
      </c>
      <c r="D18" t="s">
        <v>17</v>
      </c>
      <c r="E18" t="s">
        <v>18</v>
      </c>
      <c r="F18" t="s">
        <v>19</v>
      </c>
      <c r="G18">
        <v>2010</v>
      </c>
      <c r="H18">
        <v>53951.5</v>
      </c>
      <c r="I18">
        <v>27879</v>
      </c>
      <c r="J18">
        <v>26072.5</v>
      </c>
      <c r="K18">
        <v>12647.5</v>
      </c>
      <c r="L18" s="5">
        <v>0.23442350999999997</v>
      </c>
      <c r="M18">
        <v>41304</v>
      </c>
      <c r="N18" s="5">
        <v>0.76557648999999994</v>
      </c>
    </row>
    <row r="19" spans="1:14" x14ac:dyDescent="0.3">
      <c r="A19" t="s">
        <v>45</v>
      </c>
      <c r="B19" t="s">
        <v>15</v>
      </c>
      <c r="C19" t="s">
        <v>46</v>
      </c>
      <c r="D19" t="s">
        <v>47</v>
      </c>
      <c r="E19" t="s">
        <v>48</v>
      </c>
      <c r="F19" t="s">
        <v>49</v>
      </c>
      <c r="G19">
        <v>2013</v>
      </c>
      <c r="H19">
        <v>53308.9</v>
      </c>
      <c r="I19">
        <v>47969.9</v>
      </c>
      <c r="J19">
        <v>5339</v>
      </c>
      <c r="K19">
        <v>44114.400000000001</v>
      </c>
      <c r="L19" s="5">
        <v>0.82752410949999999</v>
      </c>
      <c r="M19">
        <v>9194.5</v>
      </c>
      <c r="N19" s="5">
        <v>0.17247589049999998</v>
      </c>
    </row>
    <row r="20" spans="1:14" x14ac:dyDescent="0.3">
      <c r="A20" t="s">
        <v>50</v>
      </c>
      <c r="B20" t="s">
        <v>15</v>
      </c>
      <c r="C20" t="s">
        <v>22</v>
      </c>
      <c r="D20" t="s">
        <v>25</v>
      </c>
      <c r="E20" t="s">
        <v>26</v>
      </c>
      <c r="F20" t="s">
        <v>19</v>
      </c>
      <c r="G20">
        <v>2012</v>
      </c>
      <c r="H20">
        <v>47649.2</v>
      </c>
      <c r="I20">
        <v>20247.099999999999</v>
      </c>
      <c r="J20">
        <v>27418.9</v>
      </c>
      <c r="K20">
        <v>8621.1</v>
      </c>
      <c r="L20" s="5">
        <v>0.18092853609999998</v>
      </c>
      <c r="M20">
        <v>39028.1</v>
      </c>
      <c r="N20" s="5">
        <v>0.81907146389999996</v>
      </c>
    </row>
    <row r="21" spans="1:14" x14ac:dyDescent="0.3">
      <c r="A21" t="s">
        <v>51</v>
      </c>
      <c r="B21" t="s">
        <v>15</v>
      </c>
      <c r="C21" t="s">
        <v>34</v>
      </c>
      <c r="D21" t="s">
        <v>17</v>
      </c>
      <c r="E21" t="s">
        <v>52</v>
      </c>
      <c r="F21" t="s">
        <v>49</v>
      </c>
      <c r="G21">
        <v>1999</v>
      </c>
      <c r="H21">
        <v>46720.4</v>
      </c>
      <c r="I21">
        <v>42837.1</v>
      </c>
      <c r="J21">
        <v>3901.3</v>
      </c>
      <c r="K21">
        <v>38535.199999999997</v>
      </c>
      <c r="L21" s="5">
        <v>0.82480458220000008</v>
      </c>
      <c r="M21">
        <v>8185.2</v>
      </c>
      <c r="N21" s="5">
        <v>0.1751954178</v>
      </c>
    </row>
    <row r="22" spans="1:14" x14ac:dyDescent="0.3">
      <c r="A22" t="s">
        <v>53</v>
      </c>
      <c r="B22" t="s">
        <v>15</v>
      </c>
      <c r="C22" t="s">
        <v>22</v>
      </c>
      <c r="D22" t="s">
        <v>17</v>
      </c>
      <c r="E22" t="s">
        <v>18</v>
      </c>
      <c r="F22" t="s">
        <v>19</v>
      </c>
      <c r="G22">
        <v>2015</v>
      </c>
      <c r="H22">
        <v>46276.4</v>
      </c>
      <c r="I22">
        <v>34132.1</v>
      </c>
      <c r="J22">
        <v>12155.1</v>
      </c>
      <c r="K22">
        <v>26675.7</v>
      </c>
      <c r="L22" s="5">
        <v>0.57644285210000001</v>
      </c>
      <c r="M22">
        <v>19600.7</v>
      </c>
      <c r="N22" s="5">
        <v>0.42355714789999999</v>
      </c>
    </row>
    <row r="23" spans="1:14" x14ac:dyDescent="0.3">
      <c r="A23" t="s">
        <v>54</v>
      </c>
      <c r="B23" t="s">
        <v>15</v>
      </c>
      <c r="C23" t="s">
        <v>22</v>
      </c>
      <c r="D23" t="s">
        <v>17</v>
      </c>
      <c r="E23" t="s">
        <v>28</v>
      </c>
      <c r="F23" t="s">
        <v>19</v>
      </c>
      <c r="G23">
        <v>2005</v>
      </c>
      <c r="H23">
        <v>43963.8</v>
      </c>
      <c r="I23">
        <v>24455.7</v>
      </c>
      <c r="J23">
        <v>19523.900000000001</v>
      </c>
      <c r="K23">
        <v>12219.3</v>
      </c>
      <c r="L23" s="5">
        <v>0.27794003249999999</v>
      </c>
      <c r="M23">
        <v>31744.5</v>
      </c>
      <c r="N23" s="5">
        <v>0.72205996750000001</v>
      </c>
    </row>
    <row r="24" spans="1:14" x14ac:dyDescent="0.3">
      <c r="A24" t="s">
        <v>55</v>
      </c>
      <c r="B24" t="s">
        <v>21</v>
      </c>
      <c r="C24" t="s">
        <v>56</v>
      </c>
      <c r="D24" t="s">
        <v>17</v>
      </c>
      <c r="E24" t="s">
        <v>18</v>
      </c>
      <c r="F24" t="s">
        <v>19</v>
      </c>
      <c r="G24">
        <v>2007</v>
      </c>
      <c r="H24">
        <v>43330.3</v>
      </c>
      <c r="I24">
        <v>16316.4</v>
      </c>
      <c r="J24">
        <v>27027.9</v>
      </c>
      <c r="K24">
        <v>9618.2000000000007</v>
      </c>
      <c r="L24" s="5">
        <v>0.22197399969999998</v>
      </c>
      <c r="M24">
        <v>33712.1</v>
      </c>
      <c r="N24" s="5">
        <v>0.77802600029999991</v>
      </c>
    </row>
    <row r="25" spans="1:14" x14ac:dyDescent="0.3">
      <c r="A25" t="s">
        <v>57</v>
      </c>
      <c r="B25" t="s">
        <v>21</v>
      </c>
      <c r="C25" t="s">
        <v>22</v>
      </c>
      <c r="D25" t="s">
        <v>17</v>
      </c>
      <c r="E25" t="s">
        <v>58</v>
      </c>
      <c r="F25" t="s">
        <v>19</v>
      </c>
      <c r="G25">
        <v>2010</v>
      </c>
      <c r="H25">
        <v>42464.1</v>
      </c>
      <c r="I25">
        <v>38477.300000000003</v>
      </c>
      <c r="J25">
        <v>3986.8</v>
      </c>
      <c r="K25">
        <v>34578.400000000001</v>
      </c>
      <c r="L25" s="5">
        <v>0.81429725340000003</v>
      </c>
      <c r="M25">
        <v>7885.7</v>
      </c>
      <c r="N25" s="5">
        <v>0.1857027466</v>
      </c>
    </row>
    <row r="26" spans="1:14" x14ac:dyDescent="0.3">
      <c r="A26" t="s">
        <v>59</v>
      </c>
      <c r="B26" t="s">
        <v>15</v>
      </c>
      <c r="C26" t="s">
        <v>60</v>
      </c>
      <c r="D26" t="s">
        <v>17</v>
      </c>
      <c r="E26" t="s">
        <v>61</v>
      </c>
      <c r="F26" t="s">
        <v>19</v>
      </c>
      <c r="G26">
        <v>1990</v>
      </c>
      <c r="H26">
        <v>42059.5</v>
      </c>
      <c r="I26">
        <v>30750.799999999999</v>
      </c>
      <c r="J26">
        <v>11325.3</v>
      </c>
      <c r="K26">
        <v>406.8</v>
      </c>
      <c r="L26" s="5">
        <v>9.6720122679999996E-3</v>
      </c>
      <c r="M26">
        <v>41652.699999999997</v>
      </c>
      <c r="N26" s="5">
        <v>0.99032798769999997</v>
      </c>
    </row>
    <row r="27" spans="1:14" x14ac:dyDescent="0.3">
      <c r="A27" t="s">
        <v>62</v>
      </c>
      <c r="B27" t="s">
        <v>21</v>
      </c>
      <c r="C27" t="s">
        <v>34</v>
      </c>
      <c r="D27" t="s">
        <v>17</v>
      </c>
      <c r="E27" t="s">
        <v>23</v>
      </c>
      <c r="F27" t="s">
        <v>19</v>
      </c>
      <c r="G27">
        <v>2015</v>
      </c>
      <c r="H27">
        <v>41944.1</v>
      </c>
      <c r="I27">
        <v>28269.7</v>
      </c>
      <c r="J27">
        <v>13687.6</v>
      </c>
      <c r="K27">
        <v>23133.7</v>
      </c>
      <c r="L27" s="5">
        <v>0.55153644970000004</v>
      </c>
      <c r="M27">
        <v>18810.400000000001</v>
      </c>
      <c r="N27" s="5">
        <v>0.44846355029999996</v>
      </c>
    </row>
    <row r="28" spans="1:14" x14ac:dyDescent="0.3">
      <c r="A28" t="s">
        <v>63</v>
      </c>
      <c r="B28" t="s">
        <v>15</v>
      </c>
      <c r="C28" t="s">
        <v>22</v>
      </c>
      <c r="D28" t="s">
        <v>25</v>
      </c>
      <c r="E28" t="s">
        <v>26</v>
      </c>
      <c r="F28" t="s">
        <v>19</v>
      </c>
      <c r="G28">
        <v>1991</v>
      </c>
      <c r="H28">
        <v>41405.4</v>
      </c>
      <c r="I28">
        <v>19772.099999999999</v>
      </c>
      <c r="J28">
        <v>21650</v>
      </c>
      <c r="K28">
        <v>10692.8</v>
      </c>
      <c r="L28" s="5">
        <v>0.2582465089</v>
      </c>
      <c r="M28">
        <v>30712.6</v>
      </c>
      <c r="N28" s="5">
        <v>0.7417534911</v>
      </c>
    </row>
    <row r="29" spans="1:14" x14ac:dyDescent="0.3">
      <c r="A29" t="s">
        <v>64</v>
      </c>
      <c r="B29" t="s">
        <v>15</v>
      </c>
      <c r="C29" t="s">
        <v>22</v>
      </c>
      <c r="D29" t="s">
        <v>25</v>
      </c>
      <c r="E29" t="s">
        <v>26</v>
      </c>
      <c r="F29" t="s">
        <v>19</v>
      </c>
      <c r="G29">
        <v>2014</v>
      </c>
      <c r="H29">
        <v>40738.6</v>
      </c>
      <c r="I29">
        <v>24898</v>
      </c>
      <c r="J29">
        <v>15857.7</v>
      </c>
      <c r="K29">
        <v>10432.5</v>
      </c>
      <c r="L29" s="5">
        <v>0.25608391059999996</v>
      </c>
      <c r="M29">
        <v>30306.1</v>
      </c>
      <c r="N29" s="5">
        <v>0.74391608939999998</v>
      </c>
    </row>
    <row r="30" spans="1:14" x14ac:dyDescent="0.3">
      <c r="A30" t="s">
        <v>65</v>
      </c>
      <c r="B30" t="s">
        <v>15</v>
      </c>
      <c r="C30" t="s">
        <v>22</v>
      </c>
      <c r="D30" t="s">
        <v>25</v>
      </c>
      <c r="E30" t="s">
        <v>26</v>
      </c>
      <c r="F30" t="s">
        <v>19</v>
      </c>
      <c r="G30">
        <v>2011</v>
      </c>
      <c r="H30">
        <v>40453.300000000003</v>
      </c>
      <c r="I30">
        <v>18355.599999999999</v>
      </c>
      <c r="J30">
        <v>22118.9</v>
      </c>
      <c r="K30">
        <v>6177</v>
      </c>
      <c r="L30" s="5">
        <v>0.15269458860000001</v>
      </c>
      <c r="M30">
        <v>34276.300000000003</v>
      </c>
      <c r="N30" s="5">
        <v>0.84730541140000004</v>
      </c>
    </row>
    <row r="31" spans="1:14" x14ac:dyDescent="0.3">
      <c r="A31" t="s">
        <v>66</v>
      </c>
      <c r="B31" t="s">
        <v>15</v>
      </c>
      <c r="C31" t="s">
        <v>22</v>
      </c>
      <c r="D31" t="s">
        <v>17</v>
      </c>
      <c r="E31" t="s">
        <v>18</v>
      </c>
      <c r="F31" t="s">
        <v>19</v>
      </c>
      <c r="G31">
        <v>2013</v>
      </c>
      <c r="H31">
        <v>40411.300000000003</v>
      </c>
      <c r="I31">
        <v>34419.9</v>
      </c>
      <c r="J31">
        <v>5998.9</v>
      </c>
      <c r="K31">
        <v>28138.400000000001</v>
      </c>
      <c r="L31" s="5">
        <v>0.6963002922</v>
      </c>
      <c r="M31">
        <v>12272.9</v>
      </c>
      <c r="N31" s="5">
        <v>0.3036997078</v>
      </c>
    </row>
    <row r="32" spans="1:14" x14ac:dyDescent="0.3">
      <c r="A32" t="s">
        <v>67</v>
      </c>
      <c r="B32" t="s">
        <v>15</v>
      </c>
      <c r="C32" t="s">
        <v>22</v>
      </c>
      <c r="D32" t="s">
        <v>17</v>
      </c>
      <c r="E32" t="s">
        <v>52</v>
      </c>
      <c r="F32" t="s">
        <v>49</v>
      </c>
      <c r="G32">
        <v>2012</v>
      </c>
      <c r="H32">
        <v>40279.5</v>
      </c>
      <c r="I32">
        <v>38006.699999999997</v>
      </c>
      <c r="J32">
        <v>2283.1999999999998</v>
      </c>
      <c r="K32">
        <v>33880.400000000001</v>
      </c>
      <c r="L32" s="5">
        <v>0.84113258610000008</v>
      </c>
      <c r="M32">
        <v>6399.1</v>
      </c>
      <c r="N32" s="5">
        <v>0.1588674139</v>
      </c>
    </row>
    <row r="33" spans="1:14" x14ac:dyDescent="0.3">
      <c r="A33" t="s">
        <v>68</v>
      </c>
      <c r="B33" t="s">
        <v>15</v>
      </c>
      <c r="C33" t="s">
        <v>22</v>
      </c>
      <c r="D33" t="s">
        <v>17</v>
      </c>
      <c r="E33" t="s">
        <v>18</v>
      </c>
      <c r="F33" t="s">
        <v>19</v>
      </c>
      <c r="G33">
        <v>1997</v>
      </c>
      <c r="H33">
        <v>40148.199999999997</v>
      </c>
      <c r="I33">
        <v>15870.4</v>
      </c>
      <c r="J33">
        <v>24279.9</v>
      </c>
      <c r="K33">
        <v>4050.9</v>
      </c>
      <c r="L33" s="5">
        <v>0.1008986704</v>
      </c>
      <c r="M33">
        <v>36097.300000000003</v>
      </c>
      <c r="N33" s="5">
        <v>0.8991013296</v>
      </c>
    </row>
    <row r="34" spans="1:14" x14ac:dyDescent="0.3">
      <c r="A34" t="s">
        <v>69</v>
      </c>
      <c r="B34" t="s">
        <v>15</v>
      </c>
      <c r="C34" t="s">
        <v>34</v>
      </c>
      <c r="D34" t="s">
        <v>17</v>
      </c>
      <c r="E34" t="s">
        <v>18</v>
      </c>
      <c r="F34" t="s">
        <v>19</v>
      </c>
      <c r="G34">
        <v>2014</v>
      </c>
      <c r="H34">
        <v>39024.300000000003</v>
      </c>
      <c r="I34">
        <v>15878</v>
      </c>
      <c r="J34">
        <v>23155.599999999999</v>
      </c>
      <c r="K34">
        <v>7883.1</v>
      </c>
      <c r="L34" s="5">
        <v>0.20200490460000001</v>
      </c>
      <c r="M34">
        <v>31141.200000000001</v>
      </c>
      <c r="N34" s="5">
        <v>0.79799509540000002</v>
      </c>
    </row>
    <row r="35" spans="1:14" x14ac:dyDescent="0.3">
      <c r="A35" t="s">
        <v>70</v>
      </c>
      <c r="B35" t="s">
        <v>21</v>
      </c>
      <c r="C35" t="s">
        <v>22</v>
      </c>
      <c r="D35" t="s">
        <v>17</v>
      </c>
      <c r="E35" t="s">
        <v>28</v>
      </c>
      <c r="F35" t="s">
        <v>19</v>
      </c>
      <c r="G35">
        <v>2012</v>
      </c>
      <c r="H35">
        <v>38879.599999999999</v>
      </c>
      <c r="I35">
        <v>25267.5</v>
      </c>
      <c r="J35">
        <v>13627.2</v>
      </c>
      <c r="K35">
        <v>19804.599999999999</v>
      </c>
      <c r="L35" s="5">
        <v>0.50938281259999996</v>
      </c>
      <c r="M35">
        <v>19075</v>
      </c>
      <c r="N35" s="5">
        <v>0.49061718740000004</v>
      </c>
    </row>
    <row r="36" spans="1:14" x14ac:dyDescent="0.3">
      <c r="A36" t="s">
        <v>71</v>
      </c>
      <c r="B36" t="s">
        <v>15</v>
      </c>
      <c r="C36" t="s">
        <v>72</v>
      </c>
      <c r="D36" t="s">
        <v>73</v>
      </c>
      <c r="E36" t="s">
        <v>74</v>
      </c>
      <c r="F36" t="s">
        <v>19</v>
      </c>
      <c r="G36">
        <v>2011</v>
      </c>
      <c r="H36">
        <v>37687.800000000003</v>
      </c>
      <c r="I36">
        <v>13330.4</v>
      </c>
      <c r="J36">
        <v>24384.799999999999</v>
      </c>
      <c r="K36">
        <v>4537.3999999999996</v>
      </c>
      <c r="L36" s="5">
        <v>0.1203943982</v>
      </c>
      <c r="M36">
        <v>33150.400000000001</v>
      </c>
      <c r="N36" s="5">
        <v>0.87960560180000003</v>
      </c>
    </row>
    <row r="37" spans="1:14" x14ac:dyDescent="0.3">
      <c r="A37" t="s">
        <v>75</v>
      </c>
      <c r="B37" t="s">
        <v>21</v>
      </c>
      <c r="C37" t="s">
        <v>22</v>
      </c>
      <c r="D37" t="s">
        <v>17</v>
      </c>
      <c r="E37" t="s">
        <v>23</v>
      </c>
      <c r="F37" t="s">
        <v>19</v>
      </c>
      <c r="G37">
        <v>2008</v>
      </c>
      <c r="H37">
        <v>37565.4</v>
      </c>
      <c r="I37">
        <v>37009.699999999997</v>
      </c>
      <c r="J37">
        <v>572</v>
      </c>
      <c r="K37">
        <v>23546.2</v>
      </c>
      <c r="L37" s="5">
        <v>0.62680551780000004</v>
      </c>
      <c r="M37">
        <v>14019.2</v>
      </c>
      <c r="N37" s="5">
        <v>0.37319448219999996</v>
      </c>
    </row>
    <row r="38" spans="1:14" x14ac:dyDescent="0.3">
      <c r="A38" t="s">
        <v>76</v>
      </c>
      <c r="B38" t="s">
        <v>21</v>
      </c>
      <c r="C38" t="s">
        <v>43</v>
      </c>
      <c r="D38" t="s">
        <v>25</v>
      </c>
      <c r="E38" t="s">
        <v>26</v>
      </c>
      <c r="F38" t="s">
        <v>19</v>
      </c>
      <c r="G38">
        <v>2007</v>
      </c>
      <c r="H38">
        <v>37549.699999999997</v>
      </c>
      <c r="I38">
        <v>29603.8</v>
      </c>
      <c r="J38">
        <v>7961.5</v>
      </c>
      <c r="K38">
        <v>14790.4</v>
      </c>
      <c r="L38" s="5">
        <v>0.39388863290000004</v>
      </c>
      <c r="M38">
        <v>22759.3</v>
      </c>
      <c r="N38" s="5">
        <v>0.60611136710000002</v>
      </c>
    </row>
    <row r="39" spans="1:14" x14ac:dyDescent="0.3">
      <c r="A39" t="s">
        <v>77</v>
      </c>
      <c r="B39" t="s">
        <v>15</v>
      </c>
      <c r="C39" t="s">
        <v>22</v>
      </c>
      <c r="D39" t="s">
        <v>17</v>
      </c>
      <c r="E39" t="s">
        <v>18</v>
      </c>
      <c r="F39" t="s">
        <v>19</v>
      </c>
      <c r="G39">
        <v>2017</v>
      </c>
      <c r="H39">
        <v>35931.9</v>
      </c>
      <c r="I39">
        <v>18773.5</v>
      </c>
      <c r="J39">
        <v>17171.5</v>
      </c>
      <c r="K39">
        <v>8928.7999999999993</v>
      </c>
      <c r="L39" s="5">
        <v>0.24849228679999999</v>
      </c>
      <c r="M39">
        <v>27003.1</v>
      </c>
      <c r="N39" s="5">
        <v>0.75150771320000009</v>
      </c>
    </row>
    <row r="40" spans="1:14" x14ac:dyDescent="0.3">
      <c r="A40" t="s">
        <v>78</v>
      </c>
      <c r="B40" t="s">
        <v>79</v>
      </c>
      <c r="C40" t="s">
        <v>22</v>
      </c>
      <c r="D40" t="s">
        <v>17</v>
      </c>
      <c r="E40" t="s">
        <v>23</v>
      </c>
      <c r="F40" t="s">
        <v>49</v>
      </c>
      <c r="G40">
        <v>2002</v>
      </c>
      <c r="H40">
        <v>35794.1</v>
      </c>
      <c r="I40">
        <v>35585.800000000003</v>
      </c>
      <c r="J40">
        <v>222.6</v>
      </c>
      <c r="K40">
        <v>23312.5</v>
      </c>
      <c r="L40" s="5">
        <v>0.65129448710000004</v>
      </c>
      <c r="M40">
        <v>12481.6</v>
      </c>
      <c r="N40" s="5">
        <v>0.34870551290000001</v>
      </c>
    </row>
    <row r="41" spans="1:14" x14ac:dyDescent="0.3">
      <c r="A41" t="s">
        <v>80</v>
      </c>
      <c r="B41" t="s">
        <v>15</v>
      </c>
      <c r="C41" t="s">
        <v>22</v>
      </c>
      <c r="D41" t="s">
        <v>17</v>
      </c>
      <c r="E41" t="s">
        <v>28</v>
      </c>
      <c r="F41" t="s">
        <v>19</v>
      </c>
      <c r="G41">
        <v>2016</v>
      </c>
      <c r="H41">
        <v>35727.199999999997</v>
      </c>
      <c r="I41">
        <v>18499.900000000001</v>
      </c>
      <c r="J41">
        <v>17234.400000000001</v>
      </c>
      <c r="K41">
        <v>12520.6</v>
      </c>
      <c r="L41" s="5">
        <v>0.3504500773</v>
      </c>
      <c r="M41">
        <v>23206.6</v>
      </c>
      <c r="N41" s="5">
        <v>0.6495499227</v>
      </c>
    </row>
    <row r="42" spans="1:14" x14ac:dyDescent="0.3">
      <c r="A42" t="s">
        <v>81</v>
      </c>
      <c r="B42" t="s">
        <v>21</v>
      </c>
      <c r="C42" t="s">
        <v>22</v>
      </c>
      <c r="D42" t="s">
        <v>17</v>
      </c>
      <c r="E42" t="s">
        <v>23</v>
      </c>
      <c r="F42" t="s">
        <v>19</v>
      </c>
      <c r="G42">
        <v>2003</v>
      </c>
      <c r="H42">
        <v>34975.199999999997</v>
      </c>
      <c r="I42">
        <v>29662.799999999999</v>
      </c>
      <c r="J42">
        <v>5325.3</v>
      </c>
      <c r="K42">
        <v>21863.9</v>
      </c>
      <c r="L42" s="5">
        <v>0.62512580340000001</v>
      </c>
      <c r="M42">
        <v>13111.3</v>
      </c>
      <c r="N42" s="5">
        <v>0.37487419659999999</v>
      </c>
    </row>
    <row r="43" spans="1:14" x14ac:dyDescent="0.3">
      <c r="A43" t="s">
        <v>82</v>
      </c>
      <c r="B43" t="s">
        <v>15</v>
      </c>
      <c r="C43" t="s">
        <v>43</v>
      </c>
      <c r="D43" t="s">
        <v>25</v>
      </c>
      <c r="E43" t="s">
        <v>83</v>
      </c>
      <c r="F43" t="s">
        <v>19</v>
      </c>
      <c r="G43">
        <v>2010</v>
      </c>
      <c r="H43">
        <v>34841</v>
      </c>
      <c r="I43">
        <v>19449.8</v>
      </c>
      <c r="J43">
        <v>15404.7</v>
      </c>
      <c r="K43">
        <v>11616.3</v>
      </c>
      <c r="L43" s="5">
        <v>0.33340891480000001</v>
      </c>
      <c r="M43">
        <v>23224.7</v>
      </c>
      <c r="N43" s="5">
        <v>0.66659108519999999</v>
      </c>
    </row>
    <row r="44" spans="1:14" x14ac:dyDescent="0.3">
      <c r="A44" t="s">
        <v>84</v>
      </c>
      <c r="B44" t="s">
        <v>15</v>
      </c>
      <c r="C44" t="s">
        <v>43</v>
      </c>
      <c r="D44" t="s">
        <v>25</v>
      </c>
      <c r="E44" t="s">
        <v>26</v>
      </c>
      <c r="F44" t="s">
        <v>19</v>
      </c>
      <c r="G44">
        <v>2015</v>
      </c>
      <c r="H44">
        <v>34579.1</v>
      </c>
      <c r="I44">
        <v>18725.599999999999</v>
      </c>
      <c r="J44">
        <v>15774.1</v>
      </c>
      <c r="K44">
        <v>9877.2999999999993</v>
      </c>
      <c r="L44" s="5">
        <v>0.28564364019999999</v>
      </c>
      <c r="M44">
        <v>24701.8</v>
      </c>
      <c r="N44" s="5">
        <v>0.71435635980000001</v>
      </c>
    </row>
    <row r="45" spans="1:14" x14ac:dyDescent="0.3">
      <c r="A45" t="s">
        <v>85</v>
      </c>
      <c r="B45" t="s">
        <v>15</v>
      </c>
      <c r="C45" t="s">
        <v>86</v>
      </c>
      <c r="D45" t="s">
        <v>17</v>
      </c>
      <c r="E45" t="s">
        <v>61</v>
      </c>
      <c r="F45" t="s">
        <v>19</v>
      </c>
      <c r="G45">
        <v>2007</v>
      </c>
      <c r="H45">
        <v>34129.699999999997</v>
      </c>
      <c r="I45">
        <v>31846</v>
      </c>
      <c r="J45">
        <v>2298.3000000000002</v>
      </c>
      <c r="K45">
        <v>5998.8</v>
      </c>
      <c r="L45" s="5">
        <v>0.17576480310000001</v>
      </c>
      <c r="M45">
        <v>28130.9</v>
      </c>
      <c r="N45" s="5">
        <v>0.82423519690000002</v>
      </c>
    </row>
    <row r="46" spans="1:14" x14ac:dyDescent="0.3">
      <c r="A46" t="s">
        <v>87</v>
      </c>
      <c r="B46" t="s">
        <v>15</v>
      </c>
      <c r="C46" t="s">
        <v>22</v>
      </c>
      <c r="D46" t="s">
        <v>25</v>
      </c>
      <c r="E46" t="s">
        <v>26</v>
      </c>
      <c r="F46" t="s">
        <v>19</v>
      </c>
      <c r="G46">
        <v>2016</v>
      </c>
      <c r="H46">
        <v>33620.699999999997</v>
      </c>
      <c r="I46">
        <v>14022.5</v>
      </c>
      <c r="J46">
        <v>19614.7</v>
      </c>
      <c r="K46">
        <v>9406.6</v>
      </c>
      <c r="L46" s="5">
        <v>0.27978596519999999</v>
      </c>
      <c r="M46">
        <v>24214.1</v>
      </c>
      <c r="N46" s="5">
        <v>0.72021403480000001</v>
      </c>
    </row>
    <row r="47" spans="1:14" x14ac:dyDescent="0.3">
      <c r="A47" t="s">
        <v>88</v>
      </c>
      <c r="B47" t="s">
        <v>79</v>
      </c>
      <c r="C47" t="s">
        <v>22</v>
      </c>
      <c r="D47" t="s">
        <v>17</v>
      </c>
      <c r="E47" t="s">
        <v>52</v>
      </c>
      <c r="F47" t="s">
        <v>49</v>
      </c>
      <c r="G47">
        <v>2000</v>
      </c>
      <c r="H47">
        <v>33224.699999999997</v>
      </c>
      <c r="I47">
        <v>31426.6</v>
      </c>
      <c r="J47">
        <v>1798.1</v>
      </c>
      <c r="K47">
        <v>30151.200000000001</v>
      </c>
      <c r="L47" s="5">
        <v>0.90749352139999995</v>
      </c>
      <c r="M47">
        <v>3073.5</v>
      </c>
      <c r="N47" s="5">
        <v>9.2506478609999998E-2</v>
      </c>
    </row>
    <row r="48" spans="1:14" x14ac:dyDescent="0.3">
      <c r="A48" t="s">
        <v>89</v>
      </c>
      <c r="B48" t="s">
        <v>15</v>
      </c>
      <c r="C48" t="s">
        <v>90</v>
      </c>
      <c r="D48" t="s">
        <v>25</v>
      </c>
      <c r="E48" t="s">
        <v>91</v>
      </c>
      <c r="F48" t="s">
        <v>19</v>
      </c>
      <c r="G48">
        <v>2020</v>
      </c>
      <c r="H48">
        <v>33179.800000000003</v>
      </c>
      <c r="I48">
        <v>18699.099999999999</v>
      </c>
      <c r="J48">
        <v>14501.2</v>
      </c>
      <c r="K48">
        <v>3938.3</v>
      </c>
      <c r="L48" s="5">
        <v>0.11869571249999999</v>
      </c>
      <c r="M48">
        <v>29241.5</v>
      </c>
      <c r="N48" s="5">
        <v>0.88130428749999989</v>
      </c>
    </row>
    <row r="49" spans="1:14" x14ac:dyDescent="0.3">
      <c r="A49" t="s">
        <v>92</v>
      </c>
      <c r="B49" t="s">
        <v>15</v>
      </c>
      <c r="C49" t="s">
        <v>22</v>
      </c>
      <c r="D49" t="s">
        <v>17</v>
      </c>
      <c r="E49" t="s">
        <v>18</v>
      </c>
      <c r="F49" t="s">
        <v>19</v>
      </c>
      <c r="G49">
        <v>2007</v>
      </c>
      <c r="H49">
        <v>32200.9</v>
      </c>
      <c r="I49">
        <v>24334.7</v>
      </c>
      <c r="J49">
        <v>7876.1</v>
      </c>
      <c r="K49">
        <v>18999.5</v>
      </c>
      <c r="L49" s="5">
        <v>0.59003009230000003</v>
      </c>
      <c r="M49">
        <v>13201.4</v>
      </c>
      <c r="N49" s="5">
        <v>0.40996990769999997</v>
      </c>
    </row>
    <row r="50" spans="1:14" x14ac:dyDescent="0.3">
      <c r="A50" t="s">
        <v>93</v>
      </c>
      <c r="B50" t="s">
        <v>15</v>
      </c>
      <c r="C50" t="s">
        <v>22</v>
      </c>
      <c r="D50" t="s">
        <v>17</v>
      </c>
      <c r="E50" t="s">
        <v>18</v>
      </c>
      <c r="F50" t="s">
        <v>19</v>
      </c>
      <c r="G50">
        <v>2014</v>
      </c>
      <c r="H50">
        <v>32115.9</v>
      </c>
      <c r="I50">
        <v>21117.5</v>
      </c>
      <c r="J50">
        <v>11006.6</v>
      </c>
      <c r="K50">
        <v>16803.2</v>
      </c>
      <c r="L50" s="5">
        <v>0.52320501679999998</v>
      </c>
      <c r="M50">
        <v>15312.7</v>
      </c>
      <c r="N50" s="5">
        <v>0.47679498320000002</v>
      </c>
    </row>
    <row r="51" spans="1:14" x14ac:dyDescent="0.3">
      <c r="A51" t="s">
        <v>94</v>
      </c>
      <c r="B51" t="s">
        <v>21</v>
      </c>
      <c r="C51" t="s">
        <v>95</v>
      </c>
      <c r="D51" t="s">
        <v>17</v>
      </c>
      <c r="E51" t="s">
        <v>23</v>
      </c>
      <c r="F51" t="s">
        <v>19</v>
      </c>
      <c r="G51">
        <v>1997</v>
      </c>
      <c r="H51">
        <v>31642.1</v>
      </c>
      <c r="I51">
        <v>21063.200000000001</v>
      </c>
      <c r="J51">
        <v>10588.2</v>
      </c>
      <c r="K51">
        <v>15741.1</v>
      </c>
      <c r="L51" s="5">
        <v>0.49747330300000003</v>
      </c>
      <c r="M51">
        <v>15901</v>
      </c>
      <c r="N51" s="5">
        <v>0.50252669699999997</v>
      </c>
    </row>
    <row r="52" spans="1:14" x14ac:dyDescent="0.3">
      <c r="A52" t="s">
        <v>96</v>
      </c>
      <c r="B52" t="s">
        <v>21</v>
      </c>
      <c r="C52" t="s">
        <v>22</v>
      </c>
      <c r="D52" t="s">
        <v>17</v>
      </c>
      <c r="E52" t="s">
        <v>23</v>
      </c>
      <c r="F52" t="s">
        <v>19</v>
      </c>
      <c r="G52">
        <v>2012</v>
      </c>
      <c r="H52">
        <v>31214.3</v>
      </c>
      <c r="I52">
        <v>25574.2</v>
      </c>
      <c r="J52">
        <v>5650.9</v>
      </c>
      <c r="K52">
        <v>18797.099999999999</v>
      </c>
      <c r="L52" s="5">
        <v>0.60219514770000004</v>
      </c>
      <c r="M52">
        <v>12417.2</v>
      </c>
      <c r="N52" s="5">
        <v>0.39780485229999996</v>
      </c>
    </row>
    <row r="53" spans="1:14" x14ac:dyDescent="0.3">
      <c r="A53" t="s">
        <v>97</v>
      </c>
      <c r="B53" t="s">
        <v>21</v>
      </c>
      <c r="C53" t="s">
        <v>43</v>
      </c>
      <c r="D53" t="s">
        <v>25</v>
      </c>
      <c r="E53" t="s">
        <v>83</v>
      </c>
      <c r="F53" t="s">
        <v>19</v>
      </c>
      <c r="G53">
        <v>1991</v>
      </c>
      <c r="H53">
        <v>31212.400000000001</v>
      </c>
      <c r="I53">
        <v>24041</v>
      </c>
      <c r="J53">
        <v>7171.5</v>
      </c>
      <c r="K53">
        <v>11661.1</v>
      </c>
      <c r="L53" s="5">
        <v>0.37360472119999999</v>
      </c>
      <c r="M53">
        <v>19551.3</v>
      </c>
      <c r="N53" s="5">
        <v>0.62639527880000001</v>
      </c>
    </row>
    <row r="54" spans="1:14" x14ac:dyDescent="0.3">
      <c r="A54" t="s">
        <v>98</v>
      </c>
      <c r="B54" t="s">
        <v>15</v>
      </c>
      <c r="C54" t="s">
        <v>22</v>
      </c>
      <c r="D54" t="s">
        <v>17</v>
      </c>
      <c r="E54" t="s">
        <v>99</v>
      </c>
      <c r="F54" t="s">
        <v>19</v>
      </c>
      <c r="G54">
        <v>2014</v>
      </c>
      <c r="H54">
        <v>31171.1</v>
      </c>
      <c r="I54">
        <v>26589.9</v>
      </c>
      <c r="J54">
        <v>4600.3999999999996</v>
      </c>
      <c r="K54">
        <v>23825.8</v>
      </c>
      <c r="L54" s="5">
        <v>0.76435544460000004</v>
      </c>
      <c r="M54">
        <v>7345.3</v>
      </c>
      <c r="N54" s="5">
        <v>0.23564455540000001</v>
      </c>
    </row>
    <row r="55" spans="1:14" x14ac:dyDescent="0.3">
      <c r="A55" t="s">
        <v>100</v>
      </c>
      <c r="B55" t="s">
        <v>15</v>
      </c>
      <c r="C55" t="s">
        <v>22</v>
      </c>
      <c r="D55" t="s">
        <v>17</v>
      </c>
      <c r="E55" t="s">
        <v>18</v>
      </c>
      <c r="F55" t="s">
        <v>19</v>
      </c>
      <c r="G55">
        <v>2011</v>
      </c>
      <c r="H55">
        <v>30933.8</v>
      </c>
      <c r="I55">
        <v>10464.200000000001</v>
      </c>
      <c r="J55">
        <v>20472.3</v>
      </c>
      <c r="K55">
        <v>2792.1</v>
      </c>
      <c r="L55" s="5">
        <v>9.0260491760000006E-2</v>
      </c>
      <c r="M55">
        <v>28141.7</v>
      </c>
      <c r="N55" s="5">
        <v>0.90973950819999994</v>
      </c>
    </row>
    <row r="56" spans="1:14" x14ac:dyDescent="0.3">
      <c r="A56" t="s">
        <v>101</v>
      </c>
      <c r="B56" t="s">
        <v>15</v>
      </c>
      <c r="C56" t="s">
        <v>22</v>
      </c>
      <c r="D56" t="s">
        <v>25</v>
      </c>
      <c r="E56" t="s">
        <v>26</v>
      </c>
      <c r="F56" t="s">
        <v>19</v>
      </c>
      <c r="G56">
        <v>2009</v>
      </c>
      <c r="H56">
        <v>29775.3</v>
      </c>
      <c r="I56">
        <v>8548.7000000000007</v>
      </c>
      <c r="J56">
        <v>21237.200000000001</v>
      </c>
      <c r="K56">
        <v>4615.8999999999996</v>
      </c>
      <c r="L56" s="5">
        <v>0.15502446659999999</v>
      </c>
      <c r="M56">
        <v>25159.4</v>
      </c>
      <c r="N56" s="5">
        <v>0.84497553339999998</v>
      </c>
    </row>
    <row r="57" spans="1:14" x14ac:dyDescent="0.3">
      <c r="A57" t="s">
        <v>102</v>
      </c>
      <c r="B57" t="s">
        <v>15</v>
      </c>
      <c r="C57" t="s">
        <v>16</v>
      </c>
      <c r="D57" t="s">
        <v>17</v>
      </c>
      <c r="E57" t="s">
        <v>23</v>
      </c>
      <c r="F57" t="s">
        <v>19</v>
      </c>
      <c r="G57">
        <v>2014</v>
      </c>
      <c r="H57">
        <v>29471.1</v>
      </c>
      <c r="I57">
        <v>28781</v>
      </c>
      <c r="J57">
        <v>699</v>
      </c>
      <c r="K57">
        <v>22074.9</v>
      </c>
      <c r="L57" s="5">
        <v>0.74903549580000006</v>
      </c>
      <c r="M57">
        <v>7396.2</v>
      </c>
      <c r="N57" s="5">
        <v>0.25096450419999999</v>
      </c>
    </row>
    <row r="58" spans="1:14" x14ac:dyDescent="0.3">
      <c r="A58" t="s">
        <v>103</v>
      </c>
      <c r="B58" t="s">
        <v>15</v>
      </c>
      <c r="C58" t="s">
        <v>34</v>
      </c>
      <c r="D58" t="s">
        <v>17</v>
      </c>
      <c r="E58" t="s">
        <v>23</v>
      </c>
      <c r="F58" t="s">
        <v>19</v>
      </c>
      <c r="G58">
        <v>2010</v>
      </c>
      <c r="H58">
        <v>29449</v>
      </c>
      <c r="I58">
        <v>29462.799999999999</v>
      </c>
      <c r="J58">
        <v>0</v>
      </c>
      <c r="K58">
        <v>29449</v>
      </c>
      <c r="L58" s="5">
        <v>1</v>
      </c>
      <c r="M58">
        <v>0</v>
      </c>
      <c r="N58" s="5">
        <v>0</v>
      </c>
    </row>
    <row r="59" spans="1:14" x14ac:dyDescent="0.3">
      <c r="A59" t="s">
        <v>104</v>
      </c>
      <c r="B59" t="s">
        <v>15</v>
      </c>
      <c r="C59" t="s">
        <v>34</v>
      </c>
      <c r="D59" t="s">
        <v>17</v>
      </c>
      <c r="E59" t="s">
        <v>52</v>
      </c>
      <c r="F59" t="s">
        <v>49</v>
      </c>
      <c r="G59">
        <v>1973</v>
      </c>
      <c r="H59">
        <v>29370</v>
      </c>
      <c r="I59">
        <v>29307.599999999999</v>
      </c>
      <c r="J59">
        <v>70.8</v>
      </c>
      <c r="K59">
        <v>26931.7</v>
      </c>
      <c r="L59" s="5">
        <v>0.91697991149999991</v>
      </c>
      <c r="M59">
        <v>2438.3000000000002</v>
      </c>
      <c r="N59" s="5">
        <v>8.3020088530000008E-2</v>
      </c>
    </row>
    <row r="60" spans="1:14" x14ac:dyDescent="0.3">
      <c r="A60" t="s">
        <v>105</v>
      </c>
      <c r="B60" t="s">
        <v>15</v>
      </c>
      <c r="C60" t="s">
        <v>34</v>
      </c>
      <c r="D60" t="s">
        <v>17</v>
      </c>
      <c r="E60" t="s">
        <v>23</v>
      </c>
      <c r="F60" t="s">
        <v>19</v>
      </c>
      <c r="G60">
        <v>2012</v>
      </c>
      <c r="H60">
        <v>29197.200000000001</v>
      </c>
      <c r="I60">
        <v>24125.8</v>
      </c>
      <c r="J60">
        <v>5078.3</v>
      </c>
      <c r="K60">
        <v>17995.2</v>
      </c>
      <c r="L60" s="5">
        <v>0.61633307299999995</v>
      </c>
      <c r="M60">
        <v>11202</v>
      </c>
      <c r="N60" s="5">
        <v>0.38366692699999999</v>
      </c>
    </row>
    <row r="61" spans="1:14" x14ac:dyDescent="0.3">
      <c r="A61" t="s">
        <v>106</v>
      </c>
      <c r="B61" t="s">
        <v>79</v>
      </c>
      <c r="C61" t="s">
        <v>34</v>
      </c>
      <c r="D61" t="s">
        <v>17</v>
      </c>
      <c r="E61" t="s">
        <v>23</v>
      </c>
      <c r="F61" t="s">
        <v>49</v>
      </c>
      <c r="G61">
        <v>2011</v>
      </c>
      <c r="H61">
        <v>28889.5</v>
      </c>
      <c r="I61">
        <v>28898.2</v>
      </c>
      <c r="J61">
        <v>0</v>
      </c>
      <c r="K61">
        <v>28801.9</v>
      </c>
      <c r="L61" s="5">
        <v>0.99696775650000002</v>
      </c>
      <c r="M61">
        <v>87.6</v>
      </c>
      <c r="N61" s="5">
        <v>3.032243549E-3</v>
      </c>
    </row>
    <row r="62" spans="1:14" x14ac:dyDescent="0.3">
      <c r="A62" t="s">
        <v>107</v>
      </c>
      <c r="B62" t="s">
        <v>15</v>
      </c>
      <c r="C62" t="s">
        <v>22</v>
      </c>
      <c r="D62" t="s">
        <v>17</v>
      </c>
      <c r="E62" t="s">
        <v>18</v>
      </c>
      <c r="F62" t="s">
        <v>19</v>
      </c>
      <c r="G62">
        <v>2013</v>
      </c>
      <c r="H62">
        <v>28848.7</v>
      </c>
      <c r="I62">
        <v>13945.2</v>
      </c>
      <c r="J62">
        <v>14911.9</v>
      </c>
      <c r="K62">
        <v>119.7</v>
      </c>
      <c r="L62" s="5">
        <v>4.1492337610000004E-3</v>
      </c>
      <c r="M62">
        <v>28729</v>
      </c>
      <c r="N62" s="5">
        <v>0.9958507661999999</v>
      </c>
    </row>
    <row r="63" spans="1:14" x14ac:dyDescent="0.3">
      <c r="A63" t="s">
        <v>108</v>
      </c>
      <c r="B63" t="s">
        <v>21</v>
      </c>
      <c r="C63" t="s">
        <v>22</v>
      </c>
      <c r="D63" t="s">
        <v>17</v>
      </c>
      <c r="E63" t="s">
        <v>23</v>
      </c>
      <c r="F63" t="s">
        <v>19</v>
      </c>
      <c r="G63">
        <v>2021</v>
      </c>
      <c r="H63">
        <v>28799.7</v>
      </c>
      <c r="I63">
        <v>28797.599999999999</v>
      </c>
      <c r="J63">
        <v>2.2000000000000002</v>
      </c>
      <c r="K63">
        <v>26750.5</v>
      </c>
      <c r="L63" s="5">
        <v>0.92884648100000011</v>
      </c>
      <c r="M63">
        <v>2049.1999999999998</v>
      </c>
      <c r="N63" s="5">
        <v>7.1153518959999995E-2</v>
      </c>
    </row>
    <row r="64" spans="1:14" x14ac:dyDescent="0.3">
      <c r="A64" t="s">
        <v>109</v>
      </c>
      <c r="B64" t="s">
        <v>21</v>
      </c>
      <c r="C64" t="s">
        <v>34</v>
      </c>
      <c r="D64" t="s">
        <v>17</v>
      </c>
      <c r="E64" t="s">
        <v>23</v>
      </c>
      <c r="F64" t="s">
        <v>19</v>
      </c>
      <c r="G64">
        <v>2008</v>
      </c>
      <c r="H64">
        <v>28690.5</v>
      </c>
      <c r="I64">
        <v>28699.5</v>
      </c>
      <c r="J64">
        <v>0</v>
      </c>
      <c r="K64">
        <v>28537.7</v>
      </c>
      <c r="L64" s="5">
        <v>0.99467419530000001</v>
      </c>
      <c r="M64">
        <v>152.80000000000001</v>
      </c>
      <c r="N64" s="5">
        <v>5.3258047090000002E-3</v>
      </c>
    </row>
    <row r="65" spans="1:14" x14ac:dyDescent="0.3">
      <c r="A65" t="s">
        <v>110</v>
      </c>
      <c r="B65" t="s">
        <v>15</v>
      </c>
      <c r="C65" t="s">
        <v>72</v>
      </c>
      <c r="D65" t="s">
        <v>73</v>
      </c>
      <c r="E65" t="s">
        <v>23</v>
      </c>
      <c r="F65" t="s">
        <v>19</v>
      </c>
      <c r="G65">
        <v>2001</v>
      </c>
      <c r="H65">
        <v>28543.9</v>
      </c>
      <c r="I65">
        <v>25181.4</v>
      </c>
      <c r="J65">
        <v>3362.5</v>
      </c>
      <c r="K65">
        <v>11.7</v>
      </c>
      <c r="L65" s="5">
        <v>4.098949338E-4</v>
      </c>
      <c r="M65">
        <v>28532.2</v>
      </c>
      <c r="N65" s="5">
        <v>0.99959010510000001</v>
      </c>
    </row>
    <row r="66" spans="1:14" x14ac:dyDescent="0.3">
      <c r="A66" t="s">
        <v>111</v>
      </c>
      <c r="B66" t="s">
        <v>21</v>
      </c>
      <c r="C66" t="s">
        <v>22</v>
      </c>
      <c r="D66" t="s">
        <v>17</v>
      </c>
      <c r="E66" t="s">
        <v>23</v>
      </c>
      <c r="F66" t="s">
        <v>19</v>
      </c>
      <c r="G66">
        <v>2001</v>
      </c>
      <c r="H66">
        <v>28248</v>
      </c>
      <c r="I66">
        <v>25287.5</v>
      </c>
      <c r="J66">
        <v>2977.8</v>
      </c>
      <c r="K66">
        <v>19629.7</v>
      </c>
      <c r="L66" s="5">
        <v>0.69490583400000006</v>
      </c>
      <c r="M66">
        <v>8618.2999999999993</v>
      </c>
      <c r="N66" s="5">
        <v>0.305094166</v>
      </c>
    </row>
    <row r="67" spans="1:14" x14ac:dyDescent="0.3">
      <c r="A67" t="s">
        <v>112</v>
      </c>
      <c r="B67" t="s">
        <v>15</v>
      </c>
      <c r="C67" t="s">
        <v>22</v>
      </c>
      <c r="D67" t="s">
        <v>17</v>
      </c>
      <c r="E67" t="s">
        <v>18</v>
      </c>
      <c r="F67" t="s">
        <v>19</v>
      </c>
      <c r="G67">
        <v>2013</v>
      </c>
      <c r="H67">
        <v>28195.8</v>
      </c>
      <c r="I67">
        <v>12491.3</v>
      </c>
      <c r="J67">
        <v>15715.6</v>
      </c>
      <c r="K67">
        <v>7949.8</v>
      </c>
      <c r="L67" s="5">
        <v>0.28194979390000002</v>
      </c>
      <c r="M67">
        <v>20246</v>
      </c>
      <c r="N67" s="5">
        <v>0.71805020610000003</v>
      </c>
    </row>
    <row r="68" spans="1:14" x14ac:dyDescent="0.3">
      <c r="A68" t="s">
        <v>113</v>
      </c>
      <c r="B68" t="s">
        <v>15</v>
      </c>
      <c r="C68" t="s">
        <v>34</v>
      </c>
      <c r="D68" t="s">
        <v>17</v>
      </c>
      <c r="E68" t="s">
        <v>52</v>
      </c>
      <c r="F68" t="s">
        <v>49</v>
      </c>
      <c r="G68">
        <v>2005</v>
      </c>
      <c r="H68">
        <v>28155.4</v>
      </c>
      <c r="I68">
        <v>28166.2</v>
      </c>
      <c r="J68">
        <v>0</v>
      </c>
      <c r="K68">
        <v>28130.400000000001</v>
      </c>
      <c r="L68" s="5">
        <v>0.99911207090000009</v>
      </c>
      <c r="M68">
        <v>25</v>
      </c>
      <c r="N68" s="5">
        <v>8.8792913619999993E-4</v>
      </c>
    </row>
    <row r="69" spans="1:14" x14ac:dyDescent="0.3">
      <c r="A69" t="s">
        <v>114</v>
      </c>
      <c r="B69" t="s">
        <v>15</v>
      </c>
      <c r="C69" t="s">
        <v>22</v>
      </c>
      <c r="D69" t="s">
        <v>25</v>
      </c>
      <c r="E69" t="s">
        <v>83</v>
      </c>
      <c r="F69" t="s">
        <v>49</v>
      </c>
      <c r="G69">
        <v>2018</v>
      </c>
      <c r="H69">
        <v>27466.799999999999</v>
      </c>
      <c r="I69">
        <v>19814.7</v>
      </c>
      <c r="J69">
        <v>7652.1</v>
      </c>
      <c r="K69">
        <v>11576.2</v>
      </c>
      <c r="L69" s="5">
        <v>0.42146154629999999</v>
      </c>
      <c r="M69">
        <v>15890.6</v>
      </c>
      <c r="N69" s="5">
        <v>0.57853845370000001</v>
      </c>
    </row>
    <row r="70" spans="1:14" x14ac:dyDescent="0.3">
      <c r="A70" t="s">
        <v>115</v>
      </c>
      <c r="B70" t="s">
        <v>15</v>
      </c>
      <c r="C70" t="s">
        <v>90</v>
      </c>
      <c r="D70" t="s">
        <v>25</v>
      </c>
      <c r="E70" t="s">
        <v>91</v>
      </c>
      <c r="F70" t="s">
        <v>19</v>
      </c>
      <c r="G70">
        <v>2019</v>
      </c>
      <c r="H70">
        <v>27406.799999999999</v>
      </c>
      <c r="I70">
        <v>18341.2</v>
      </c>
      <c r="J70">
        <v>9084.4</v>
      </c>
      <c r="K70">
        <v>13658.7</v>
      </c>
      <c r="L70" s="5">
        <v>0.49836901789999999</v>
      </c>
      <c r="M70">
        <v>13748.1</v>
      </c>
      <c r="N70" s="5">
        <v>0.50163098210000001</v>
      </c>
    </row>
    <row r="71" spans="1:14" x14ac:dyDescent="0.3">
      <c r="A71" t="s">
        <v>116</v>
      </c>
      <c r="B71" t="s">
        <v>15</v>
      </c>
      <c r="C71" t="s">
        <v>22</v>
      </c>
      <c r="D71" t="s">
        <v>17</v>
      </c>
      <c r="E71" t="s">
        <v>18</v>
      </c>
      <c r="F71" t="s">
        <v>19</v>
      </c>
      <c r="G71">
        <v>2009</v>
      </c>
      <c r="H71">
        <v>27125.8</v>
      </c>
      <c r="I71">
        <v>23925.9</v>
      </c>
      <c r="J71">
        <v>3208.7</v>
      </c>
      <c r="K71">
        <v>11656.5</v>
      </c>
      <c r="L71" s="5">
        <v>0.4297200451</v>
      </c>
      <c r="M71">
        <v>15469.3</v>
      </c>
      <c r="N71" s="5">
        <v>0.57027995490000005</v>
      </c>
    </row>
    <row r="72" spans="1:14" x14ac:dyDescent="0.3">
      <c r="A72" t="s">
        <v>117</v>
      </c>
      <c r="B72" t="s">
        <v>21</v>
      </c>
      <c r="C72" t="s">
        <v>22</v>
      </c>
      <c r="D72" t="s">
        <v>17</v>
      </c>
      <c r="E72" t="s">
        <v>23</v>
      </c>
      <c r="F72" t="s">
        <v>19</v>
      </c>
      <c r="G72">
        <v>2008</v>
      </c>
      <c r="H72">
        <v>26895.1</v>
      </c>
      <c r="I72">
        <v>16017.5</v>
      </c>
      <c r="J72">
        <v>10884.4</v>
      </c>
      <c r="K72">
        <v>10921.5</v>
      </c>
      <c r="L72" s="5">
        <v>0.40607768700000002</v>
      </c>
      <c r="M72">
        <v>15973.6</v>
      </c>
      <c r="N72" s="5">
        <v>0.59392231299999998</v>
      </c>
    </row>
    <row r="73" spans="1:14" x14ac:dyDescent="0.3">
      <c r="A73" t="s">
        <v>118</v>
      </c>
      <c r="B73" t="s">
        <v>15</v>
      </c>
      <c r="C73" t="s">
        <v>22</v>
      </c>
      <c r="D73" t="s">
        <v>17</v>
      </c>
      <c r="E73" t="s">
        <v>28</v>
      </c>
      <c r="F73" t="s">
        <v>19</v>
      </c>
      <c r="G73">
        <v>2011</v>
      </c>
      <c r="H73">
        <v>26465.200000000001</v>
      </c>
      <c r="I73">
        <v>5073.8</v>
      </c>
      <c r="J73">
        <v>21394.799999999999</v>
      </c>
      <c r="K73">
        <v>318.39999999999998</v>
      </c>
      <c r="L73" s="5">
        <v>1.2030893399999999E-2</v>
      </c>
      <c r="M73">
        <v>26146.799999999999</v>
      </c>
      <c r="N73" s="5">
        <v>0.98796910659999992</v>
      </c>
    </row>
    <row r="74" spans="1:14" x14ac:dyDescent="0.3">
      <c r="A74" t="s">
        <v>119</v>
      </c>
      <c r="B74" t="s">
        <v>15</v>
      </c>
      <c r="C74" t="s">
        <v>34</v>
      </c>
      <c r="D74" t="s">
        <v>17</v>
      </c>
      <c r="E74" t="s">
        <v>52</v>
      </c>
      <c r="F74" t="s">
        <v>49</v>
      </c>
      <c r="G74">
        <v>1962</v>
      </c>
      <c r="H74">
        <v>26130.5</v>
      </c>
      <c r="I74">
        <v>26138.7</v>
      </c>
      <c r="J74">
        <v>2.2000000000000002</v>
      </c>
      <c r="K74">
        <v>26123</v>
      </c>
      <c r="L74" s="5">
        <v>0.99971297910000001</v>
      </c>
      <c r="M74">
        <v>7.5</v>
      </c>
      <c r="N74" s="5">
        <v>2.8702091429999999E-4</v>
      </c>
    </row>
    <row r="75" spans="1:14" x14ac:dyDescent="0.3">
      <c r="A75" t="s">
        <v>120</v>
      </c>
      <c r="B75" t="s">
        <v>15</v>
      </c>
      <c r="C75" t="s">
        <v>22</v>
      </c>
      <c r="D75" t="s">
        <v>17</v>
      </c>
      <c r="E75" t="s">
        <v>23</v>
      </c>
      <c r="F75" t="s">
        <v>19</v>
      </c>
      <c r="G75">
        <v>2004</v>
      </c>
      <c r="H75">
        <v>25875.8</v>
      </c>
      <c r="I75">
        <v>18250.900000000001</v>
      </c>
      <c r="J75">
        <v>7641</v>
      </c>
      <c r="K75">
        <v>2321.6999999999998</v>
      </c>
      <c r="L75" s="5">
        <v>8.9724762129999996E-2</v>
      </c>
      <c r="M75">
        <v>23554.1</v>
      </c>
      <c r="N75" s="5">
        <v>0.91027523790000009</v>
      </c>
    </row>
    <row r="76" spans="1:14" x14ac:dyDescent="0.3">
      <c r="A76" t="s">
        <v>121</v>
      </c>
      <c r="B76" t="s">
        <v>15</v>
      </c>
      <c r="C76" t="s">
        <v>22</v>
      </c>
      <c r="D76" t="s">
        <v>25</v>
      </c>
      <c r="E76" t="s">
        <v>26</v>
      </c>
      <c r="F76" t="s">
        <v>19</v>
      </c>
      <c r="G76">
        <v>1995</v>
      </c>
      <c r="H76">
        <v>25875.4</v>
      </c>
      <c r="I76">
        <v>11175.4</v>
      </c>
      <c r="J76">
        <v>14672</v>
      </c>
      <c r="K76">
        <v>2972.5</v>
      </c>
      <c r="L76" s="5">
        <v>0.11487745119999999</v>
      </c>
      <c r="M76">
        <v>22902.9</v>
      </c>
      <c r="N76" s="5">
        <v>0.88512254879999996</v>
      </c>
    </row>
    <row r="77" spans="1:14" x14ac:dyDescent="0.3">
      <c r="A77" t="s">
        <v>122</v>
      </c>
      <c r="B77" t="s">
        <v>15</v>
      </c>
      <c r="C77" t="s">
        <v>22</v>
      </c>
      <c r="D77" t="s">
        <v>17</v>
      </c>
      <c r="E77" t="s">
        <v>18</v>
      </c>
      <c r="F77" t="s">
        <v>19</v>
      </c>
      <c r="G77">
        <v>2011</v>
      </c>
      <c r="H77">
        <v>25818.400000000001</v>
      </c>
      <c r="I77">
        <v>15382.2</v>
      </c>
      <c r="J77">
        <v>10446.9</v>
      </c>
      <c r="K77">
        <v>10109.799999999999</v>
      </c>
      <c r="L77" s="5">
        <v>0.3915734515</v>
      </c>
      <c r="M77">
        <v>15708.6</v>
      </c>
      <c r="N77" s="5">
        <v>0.6084265485</v>
      </c>
    </row>
    <row r="78" spans="1:14" x14ac:dyDescent="0.3">
      <c r="A78" t="s">
        <v>123</v>
      </c>
      <c r="B78" t="s">
        <v>21</v>
      </c>
      <c r="C78" t="s">
        <v>22</v>
      </c>
      <c r="D78" t="s">
        <v>17</v>
      </c>
      <c r="E78" t="s">
        <v>23</v>
      </c>
      <c r="F78" t="s">
        <v>19</v>
      </c>
      <c r="G78">
        <v>2014</v>
      </c>
      <c r="H78">
        <v>25687.5</v>
      </c>
      <c r="I78">
        <v>13902.2</v>
      </c>
      <c r="J78">
        <v>11792.3</v>
      </c>
      <c r="K78">
        <v>12376.1</v>
      </c>
      <c r="L78" s="5">
        <v>0.48179464719999998</v>
      </c>
      <c r="M78">
        <v>13311.4</v>
      </c>
      <c r="N78" s="5">
        <v>0.51820535280000002</v>
      </c>
    </row>
    <row r="79" spans="1:14" x14ac:dyDescent="0.3">
      <c r="A79" t="s">
        <v>124</v>
      </c>
      <c r="B79" t="s">
        <v>15</v>
      </c>
      <c r="C79" t="s">
        <v>22</v>
      </c>
      <c r="D79" t="s">
        <v>17</v>
      </c>
      <c r="E79" t="s">
        <v>18</v>
      </c>
      <c r="F79" t="s">
        <v>19</v>
      </c>
      <c r="G79">
        <v>2006</v>
      </c>
      <c r="H79">
        <v>25289.9</v>
      </c>
      <c r="I79">
        <v>11748.9</v>
      </c>
      <c r="J79">
        <v>13549.3</v>
      </c>
      <c r="K79">
        <v>4844.5</v>
      </c>
      <c r="L79" s="5">
        <v>0.19155868550000002</v>
      </c>
      <c r="M79">
        <v>20445.400000000001</v>
      </c>
      <c r="N79" s="5">
        <v>0.80844131450000001</v>
      </c>
    </row>
    <row r="80" spans="1:14" x14ac:dyDescent="0.3">
      <c r="A80" t="s">
        <v>125</v>
      </c>
      <c r="B80" t="s">
        <v>15</v>
      </c>
      <c r="C80" t="s">
        <v>22</v>
      </c>
      <c r="D80" t="s">
        <v>17</v>
      </c>
      <c r="E80" t="s">
        <v>23</v>
      </c>
      <c r="F80" t="s">
        <v>19</v>
      </c>
      <c r="G80">
        <v>1964</v>
      </c>
      <c r="H80">
        <v>25264.400000000001</v>
      </c>
      <c r="I80">
        <v>24355.5</v>
      </c>
      <c r="J80">
        <v>908.9</v>
      </c>
      <c r="K80">
        <v>22915.3</v>
      </c>
      <c r="L80" s="5">
        <v>0.90701936319999998</v>
      </c>
      <c r="M80">
        <v>2349.1</v>
      </c>
      <c r="N80" s="5">
        <v>9.2980636790000001E-2</v>
      </c>
    </row>
    <row r="81" spans="1:14" x14ac:dyDescent="0.3">
      <c r="A81" t="s">
        <v>126</v>
      </c>
      <c r="B81" t="s">
        <v>21</v>
      </c>
      <c r="C81" t="s">
        <v>22</v>
      </c>
      <c r="D81" t="s">
        <v>17</v>
      </c>
      <c r="E81" t="s">
        <v>23</v>
      </c>
      <c r="F81" t="s">
        <v>19</v>
      </c>
      <c r="G81">
        <v>2014</v>
      </c>
      <c r="H81">
        <v>24888.6</v>
      </c>
      <c r="I81">
        <v>22789.599999999999</v>
      </c>
      <c r="J81">
        <v>2114.3000000000002</v>
      </c>
      <c r="K81">
        <v>22549.4</v>
      </c>
      <c r="L81" s="5">
        <v>0.90601319479999998</v>
      </c>
      <c r="M81">
        <v>2339.1999999999998</v>
      </c>
      <c r="N81" s="5">
        <v>9.3986805199999995E-2</v>
      </c>
    </row>
    <row r="82" spans="1:14" x14ac:dyDescent="0.3">
      <c r="A82" t="s">
        <v>127</v>
      </c>
      <c r="B82" t="s">
        <v>15</v>
      </c>
      <c r="C82" t="s">
        <v>22</v>
      </c>
      <c r="D82" t="s">
        <v>17</v>
      </c>
      <c r="E82" t="s">
        <v>28</v>
      </c>
      <c r="F82" t="s">
        <v>19</v>
      </c>
      <c r="G82">
        <v>2011</v>
      </c>
      <c r="H82">
        <v>24807.4</v>
      </c>
      <c r="I82">
        <v>20425.400000000001</v>
      </c>
      <c r="J82">
        <v>4391.5</v>
      </c>
      <c r="K82">
        <v>18809.3</v>
      </c>
      <c r="L82" s="5">
        <v>0.75821327510000003</v>
      </c>
      <c r="M82">
        <v>5998.1</v>
      </c>
      <c r="N82" s="5">
        <v>0.2417867249</v>
      </c>
    </row>
    <row r="83" spans="1:14" x14ac:dyDescent="0.3">
      <c r="A83" t="s">
        <v>128</v>
      </c>
      <c r="B83" t="s">
        <v>15</v>
      </c>
      <c r="C83" t="s">
        <v>129</v>
      </c>
      <c r="D83" t="s">
        <v>130</v>
      </c>
      <c r="E83" t="s">
        <v>131</v>
      </c>
      <c r="F83" t="s">
        <v>49</v>
      </c>
      <c r="G83">
        <v>1979</v>
      </c>
      <c r="H83">
        <v>24607</v>
      </c>
      <c r="I83">
        <v>24525.4</v>
      </c>
      <c r="J83">
        <v>81.599999999999994</v>
      </c>
      <c r="K83">
        <v>24410.799999999999</v>
      </c>
      <c r="L83" s="5">
        <v>0.99202665909999999</v>
      </c>
      <c r="M83">
        <v>196.2</v>
      </c>
      <c r="N83" s="5">
        <v>7.973340919E-3</v>
      </c>
    </row>
    <row r="84" spans="1:14" x14ac:dyDescent="0.3">
      <c r="A84" t="s">
        <v>132</v>
      </c>
      <c r="B84" t="s">
        <v>15</v>
      </c>
      <c r="C84" t="s">
        <v>22</v>
      </c>
      <c r="D84" t="s">
        <v>17</v>
      </c>
      <c r="E84" t="s">
        <v>18</v>
      </c>
      <c r="F84" t="s">
        <v>19</v>
      </c>
      <c r="G84">
        <v>1996</v>
      </c>
      <c r="H84">
        <v>24440.1</v>
      </c>
      <c r="I84">
        <v>13311.3</v>
      </c>
      <c r="J84">
        <v>11139.9</v>
      </c>
      <c r="K84">
        <v>2764.3</v>
      </c>
      <c r="L84" s="5">
        <v>0.1131051019</v>
      </c>
      <c r="M84">
        <v>21675.8</v>
      </c>
      <c r="N84" s="5">
        <v>0.8868948981</v>
      </c>
    </row>
    <row r="85" spans="1:14" x14ac:dyDescent="0.3">
      <c r="A85" t="s">
        <v>133</v>
      </c>
      <c r="B85" t="s">
        <v>15</v>
      </c>
      <c r="C85" t="s">
        <v>22</v>
      </c>
      <c r="D85" t="s">
        <v>17</v>
      </c>
      <c r="E85" t="s">
        <v>18</v>
      </c>
      <c r="F85" t="s">
        <v>19</v>
      </c>
      <c r="G85">
        <v>2011</v>
      </c>
      <c r="H85">
        <v>24217.200000000001</v>
      </c>
      <c r="I85">
        <v>14721.3</v>
      </c>
      <c r="J85">
        <v>9504.2999999999993</v>
      </c>
      <c r="K85">
        <v>6253.7</v>
      </c>
      <c r="L85" s="5">
        <v>0.2582338173</v>
      </c>
      <c r="M85">
        <v>17963.5</v>
      </c>
      <c r="N85" s="5">
        <v>0.74176618270000005</v>
      </c>
    </row>
    <row r="86" spans="1:14" x14ac:dyDescent="0.3">
      <c r="A86" t="s">
        <v>134</v>
      </c>
      <c r="B86" t="s">
        <v>21</v>
      </c>
      <c r="C86" t="s">
        <v>22</v>
      </c>
      <c r="D86" t="s">
        <v>17</v>
      </c>
      <c r="E86" t="s">
        <v>23</v>
      </c>
      <c r="F86" t="s">
        <v>19</v>
      </c>
      <c r="G86">
        <v>2006</v>
      </c>
      <c r="H86">
        <v>23907.599999999999</v>
      </c>
      <c r="I86">
        <v>20739</v>
      </c>
      <c r="J86">
        <v>3175.7</v>
      </c>
      <c r="K86">
        <v>18453.900000000001</v>
      </c>
      <c r="L86" s="5">
        <v>0.77188425440000008</v>
      </c>
      <c r="M86">
        <v>5453.7</v>
      </c>
      <c r="N86" s="5">
        <v>0.2281157456</v>
      </c>
    </row>
    <row r="87" spans="1:14" x14ac:dyDescent="0.3">
      <c r="A87" t="s">
        <v>135</v>
      </c>
      <c r="B87" t="s">
        <v>15</v>
      </c>
      <c r="C87" t="s">
        <v>22</v>
      </c>
      <c r="D87" t="s">
        <v>17</v>
      </c>
      <c r="E87" t="s">
        <v>61</v>
      </c>
      <c r="F87" t="s">
        <v>49</v>
      </c>
      <c r="G87">
        <v>2012</v>
      </c>
      <c r="H87">
        <v>23845.1</v>
      </c>
      <c r="I87">
        <v>22661.5</v>
      </c>
      <c r="J87">
        <v>1189.8</v>
      </c>
      <c r="K87">
        <v>3830.9</v>
      </c>
      <c r="L87" s="5">
        <v>0.16065774520000001</v>
      </c>
      <c r="M87">
        <v>20014.2</v>
      </c>
      <c r="N87" s="5">
        <v>0.83934225479999991</v>
      </c>
    </row>
    <row r="88" spans="1:14" x14ac:dyDescent="0.3">
      <c r="A88" t="s">
        <v>136</v>
      </c>
      <c r="B88" t="s">
        <v>15</v>
      </c>
      <c r="C88" t="s">
        <v>22</v>
      </c>
      <c r="D88" t="s">
        <v>17</v>
      </c>
      <c r="E88" t="s">
        <v>61</v>
      </c>
      <c r="F88" t="s">
        <v>19</v>
      </c>
      <c r="G88">
        <v>2015</v>
      </c>
      <c r="H88">
        <v>23705.9</v>
      </c>
      <c r="I88">
        <v>17589.400000000001</v>
      </c>
      <c r="J88">
        <v>6122.5</v>
      </c>
      <c r="K88">
        <v>1704.1</v>
      </c>
      <c r="L88" s="5">
        <v>7.188505815E-2</v>
      </c>
      <c r="M88">
        <v>22001.8</v>
      </c>
      <c r="N88" s="5">
        <v>0.92811494179999998</v>
      </c>
    </row>
    <row r="89" spans="1:14" x14ac:dyDescent="0.3">
      <c r="A89" t="s">
        <v>137</v>
      </c>
      <c r="B89" t="s">
        <v>21</v>
      </c>
      <c r="C89" t="s">
        <v>22</v>
      </c>
      <c r="D89" t="s">
        <v>17</v>
      </c>
      <c r="E89" t="s">
        <v>18</v>
      </c>
      <c r="F89" t="s">
        <v>19</v>
      </c>
      <c r="G89">
        <v>2015</v>
      </c>
      <c r="H89">
        <v>22494.9</v>
      </c>
      <c r="I89">
        <v>10833.6</v>
      </c>
      <c r="J89">
        <v>11666.6</v>
      </c>
      <c r="K89">
        <v>4407.8</v>
      </c>
      <c r="L89" s="5">
        <v>0.19594663679999999</v>
      </c>
      <c r="M89">
        <v>18087.099999999999</v>
      </c>
      <c r="N89" s="5">
        <v>0.80405336319999998</v>
      </c>
    </row>
    <row r="90" spans="1:14" x14ac:dyDescent="0.3">
      <c r="A90" t="s">
        <v>138</v>
      </c>
      <c r="B90" t="s">
        <v>15</v>
      </c>
      <c r="C90" t="s">
        <v>22</v>
      </c>
      <c r="D90" t="s">
        <v>17</v>
      </c>
      <c r="E90" t="s">
        <v>58</v>
      </c>
      <c r="F90" t="s">
        <v>49</v>
      </c>
      <c r="G90">
        <v>2009</v>
      </c>
      <c r="H90">
        <v>22475.8</v>
      </c>
      <c r="I90">
        <v>22215.200000000001</v>
      </c>
      <c r="J90">
        <v>269.10000000000002</v>
      </c>
      <c r="K90">
        <v>22142.6</v>
      </c>
      <c r="L90" s="5">
        <v>0.9851751661999999</v>
      </c>
      <c r="M90">
        <v>333.2</v>
      </c>
      <c r="N90" s="5">
        <v>1.4824833820000001E-2</v>
      </c>
    </row>
    <row r="91" spans="1:14" x14ac:dyDescent="0.3">
      <c r="A91" t="s">
        <v>139</v>
      </c>
      <c r="B91" t="s">
        <v>79</v>
      </c>
      <c r="C91" t="s">
        <v>22</v>
      </c>
      <c r="D91" t="s">
        <v>17</v>
      </c>
      <c r="E91" t="s">
        <v>140</v>
      </c>
      <c r="F91" t="s">
        <v>49</v>
      </c>
      <c r="G91">
        <v>1949</v>
      </c>
      <c r="H91">
        <v>22236.1</v>
      </c>
      <c r="I91">
        <v>287.8</v>
      </c>
      <c r="J91">
        <v>21966.6</v>
      </c>
      <c r="K91">
        <v>0</v>
      </c>
      <c r="L91" s="5">
        <v>0</v>
      </c>
      <c r="M91">
        <v>22236.1</v>
      </c>
      <c r="N91" s="5">
        <v>1</v>
      </c>
    </row>
    <row r="92" spans="1:14" x14ac:dyDescent="0.3">
      <c r="A92" t="s">
        <v>141</v>
      </c>
      <c r="B92" t="s">
        <v>15</v>
      </c>
      <c r="C92" t="s">
        <v>22</v>
      </c>
      <c r="D92" t="s">
        <v>25</v>
      </c>
      <c r="E92" t="s">
        <v>26</v>
      </c>
      <c r="F92" t="s">
        <v>19</v>
      </c>
      <c r="G92">
        <v>2004</v>
      </c>
      <c r="H92">
        <v>21937.3</v>
      </c>
      <c r="I92">
        <v>8927.4</v>
      </c>
      <c r="J92">
        <v>13023.3</v>
      </c>
      <c r="K92">
        <v>3007</v>
      </c>
      <c r="L92" s="5">
        <v>0.1370724747</v>
      </c>
      <c r="M92">
        <v>18930.3</v>
      </c>
      <c r="N92" s="5">
        <v>0.86292752530000005</v>
      </c>
    </row>
    <row r="93" spans="1:14" x14ac:dyDescent="0.3">
      <c r="A93" t="s">
        <v>142</v>
      </c>
      <c r="B93" t="s">
        <v>79</v>
      </c>
      <c r="C93" t="s">
        <v>22</v>
      </c>
      <c r="D93" t="s">
        <v>17</v>
      </c>
      <c r="E93" t="s">
        <v>52</v>
      </c>
      <c r="F93" t="s">
        <v>49</v>
      </c>
      <c r="G93">
        <v>1984</v>
      </c>
      <c r="H93">
        <v>21873.8</v>
      </c>
      <c r="I93">
        <v>21884.2</v>
      </c>
      <c r="J93">
        <v>0</v>
      </c>
      <c r="K93">
        <v>21872.400000000001</v>
      </c>
      <c r="L93" s="5">
        <v>0.99993599649999998</v>
      </c>
      <c r="M93">
        <v>1.4</v>
      </c>
      <c r="N93" s="5">
        <v>6.4003511049999997E-5</v>
      </c>
    </row>
    <row r="94" spans="1:14" x14ac:dyDescent="0.3">
      <c r="A94" t="s">
        <v>143</v>
      </c>
      <c r="B94" t="s">
        <v>21</v>
      </c>
      <c r="C94" t="s">
        <v>144</v>
      </c>
      <c r="D94" t="s">
        <v>17</v>
      </c>
      <c r="E94" t="s">
        <v>23</v>
      </c>
      <c r="F94" t="s">
        <v>19</v>
      </c>
      <c r="G94">
        <v>2012</v>
      </c>
      <c r="H94">
        <v>21546.2</v>
      </c>
      <c r="I94">
        <v>12365.6</v>
      </c>
      <c r="J94">
        <v>9186</v>
      </c>
      <c r="K94">
        <v>6409.3</v>
      </c>
      <c r="L94" s="5">
        <v>0.29746776689999999</v>
      </c>
      <c r="M94">
        <v>15136.9</v>
      </c>
      <c r="N94" s="5">
        <v>0.7025322330999999</v>
      </c>
    </row>
    <row r="95" spans="1:14" x14ac:dyDescent="0.3">
      <c r="A95" t="s">
        <v>145</v>
      </c>
      <c r="B95" t="s">
        <v>15</v>
      </c>
      <c r="C95" t="s">
        <v>22</v>
      </c>
      <c r="D95" t="s">
        <v>17</v>
      </c>
      <c r="E95" t="s">
        <v>18</v>
      </c>
      <c r="F95" t="s">
        <v>49</v>
      </c>
      <c r="G95">
        <v>2014</v>
      </c>
      <c r="H95">
        <v>21202.3</v>
      </c>
      <c r="I95">
        <v>20357.3</v>
      </c>
      <c r="J95">
        <v>851.6</v>
      </c>
      <c r="K95">
        <v>16646.900000000001</v>
      </c>
      <c r="L95" s="5">
        <v>0.78514595110000007</v>
      </c>
      <c r="M95">
        <v>4555.3999999999996</v>
      </c>
      <c r="N95" s="5">
        <v>0.21485404890000001</v>
      </c>
    </row>
    <row r="96" spans="1:14" x14ac:dyDescent="0.3">
      <c r="A96" t="s">
        <v>146</v>
      </c>
      <c r="B96" t="s">
        <v>79</v>
      </c>
      <c r="C96" t="s">
        <v>22</v>
      </c>
      <c r="D96" t="s">
        <v>17</v>
      </c>
      <c r="E96" t="s">
        <v>23</v>
      </c>
      <c r="F96" t="s">
        <v>49</v>
      </c>
      <c r="G96">
        <v>2007</v>
      </c>
      <c r="H96">
        <v>21182.2</v>
      </c>
      <c r="I96">
        <v>19519.400000000001</v>
      </c>
      <c r="J96">
        <v>1669.7</v>
      </c>
      <c r="K96">
        <v>17506.599999999999</v>
      </c>
      <c r="L96" s="5">
        <v>0.8264769475999999</v>
      </c>
      <c r="M96">
        <v>3675.6</v>
      </c>
      <c r="N96" s="5">
        <v>0.17352305239999999</v>
      </c>
    </row>
    <row r="97" spans="1:14" x14ac:dyDescent="0.3">
      <c r="A97" t="s">
        <v>147</v>
      </c>
      <c r="B97" t="s">
        <v>15</v>
      </c>
      <c r="C97" t="s">
        <v>148</v>
      </c>
      <c r="D97" t="s">
        <v>17</v>
      </c>
      <c r="E97" t="s">
        <v>61</v>
      </c>
      <c r="F97" t="s">
        <v>19</v>
      </c>
      <c r="G97">
        <v>2006</v>
      </c>
      <c r="H97">
        <v>21003.5</v>
      </c>
      <c r="I97">
        <v>20142.3</v>
      </c>
      <c r="J97">
        <v>867.4</v>
      </c>
      <c r="K97">
        <v>14179.7</v>
      </c>
      <c r="L97" s="5">
        <v>0.675111291</v>
      </c>
      <c r="M97">
        <v>6823.8</v>
      </c>
      <c r="N97" s="5">
        <v>0.324888709</v>
      </c>
    </row>
    <row r="98" spans="1:14" x14ac:dyDescent="0.3">
      <c r="A98" t="s">
        <v>149</v>
      </c>
      <c r="B98" t="s">
        <v>15</v>
      </c>
      <c r="C98" t="s">
        <v>22</v>
      </c>
      <c r="D98" t="s">
        <v>17</v>
      </c>
      <c r="E98" t="s">
        <v>61</v>
      </c>
      <c r="F98" t="s">
        <v>19</v>
      </c>
      <c r="G98">
        <v>2002</v>
      </c>
      <c r="H98">
        <v>20670.8</v>
      </c>
      <c r="I98">
        <v>5352.4</v>
      </c>
      <c r="J98">
        <v>15318.4</v>
      </c>
      <c r="K98">
        <v>32.5</v>
      </c>
      <c r="L98" s="5">
        <v>1.572266192E-3</v>
      </c>
      <c r="M98">
        <v>20638.3</v>
      </c>
      <c r="N98" s="5">
        <v>0.99842773379999994</v>
      </c>
    </row>
    <row r="99" spans="1:14" x14ac:dyDescent="0.3">
      <c r="A99" t="s">
        <v>150</v>
      </c>
      <c r="B99" t="s">
        <v>15</v>
      </c>
      <c r="C99" t="s">
        <v>22</v>
      </c>
      <c r="D99" t="s">
        <v>17</v>
      </c>
      <c r="E99" t="s">
        <v>18</v>
      </c>
      <c r="F99" t="s">
        <v>19</v>
      </c>
      <c r="G99">
        <v>1993</v>
      </c>
      <c r="H99">
        <v>20644.8</v>
      </c>
      <c r="I99">
        <v>7762</v>
      </c>
      <c r="J99">
        <v>12890.7</v>
      </c>
      <c r="K99">
        <v>1744.2</v>
      </c>
      <c r="L99" s="5">
        <v>8.4486166009999988E-2</v>
      </c>
      <c r="M99">
        <v>18900.599999999999</v>
      </c>
      <c r="N99" s="5">
        <v>0.91551383400000008</v>
      </c>
    </row>
    <row r="100" spans="1:14" x14ac:dyDescent="0.3">
      <c r="A100" t="s">
        <v>151</v>
      </c>
      <c r="B100" t="s">
        <v>15</v>
      </c>
      <c r="C100" t="s">
        <v>22</v>
      </c>
      <c r="D100" t="s">
        <v>25</v>
      </c>
      <c r="E100" t="s">
        <v>152</v>
      </c>
      <c r="F100" t="s">
        <v>19</v>
      </c>
      <c r="G100">
        <v>2011</v>
      </c>
      <c r="H100">
        <v>20549.2</v>
      </c>
      <c r="I100">
        <v>14249.8</v>
      </c>
      <c r="J100">
        <v>6311</v>
      </c>
      <c r="K100">
        <v>8225.7000000000007</v>
      </c>
      <c r="L100" s="5">
        <v>0.40029295539999998</v>
      </c>
      <c r="M100">
        <v>12323.5</v>
      </c>
      <c r="N100" s="5">
        <v>0.59970704460000002</v>
      </c>
    </row>
    <row r="101" spans="1:14" x14ac:dyDescent="0.3">
      <c r="A101" t="s">
        <v>153</v>
      </c>
      <c r="B101" t="s">
        <v>15</v>
      </c>
      <c r="C101" t="s">
        <v>22</v>
      </c>
      <c r="D101" t="s">
        <v>17</v>
      </c>
      <c r="E101" t="s">
        <v>18</v>
      </c>
      <c r="F101" t="s">
        <v>19</v>
      </c>
      <c r="G101">
        <v>2003</v>
      </c>
      <c r="H101">
        <v>20444.599999999999</v>
      </c>
      <c r="I101">
        <v>14112.2</v>
      </c>
      <c r="J101">
        <v>6342</v>
      </c>
      <c r="K101">
        <v>8484.4</v>
      </c>
      <c r="L101" s="5">
        <v>0.4149946685</v>
      </c>
      <c r="M101">
        <v>11960.2</v>
      </c>
      <c r="N101" s="5">
        <v>0.5850053315</v>
      </c>
    </row>
    <row r="102" spans="1:14" x14ac:dyDescent="0.3">
      <c r="A102" t="s">
        <v>154</v>
      </c>
      <c r="B102" t="s">
        <v>15</v>
      </c>
      <c r="C102" t="s">
        <v>90</v>
      </c>
      <c r="D102" t="s">
        <v>25</v>
      </c>
      <c r="E102" t="s">
        <v>91</v>
      </c>
      <c r="F102" t="s">
        <v>19</v>
      </c>
      <c r="G102">
        <v>2018</v>
      </c>
      <c r="H102">
        <v>20300.7</v>
      </c>
      <c r="I102">
        <v>13993.4</v>
      </c>
      <c r="J102">
        <v>6316.3</v>
      </c>
      <c r="K102">
        <v>7574.2</v>
      </c>
      <c r="L102" s="5">
        <v>0.37310043500000001</v>
      </c>
      <c r="M102">
        <v>12726.5</v>
      </c>
      <c r="N102" s="5">
        <v>0.62689956499999999</v>
      </c>
    </row>
    <row r="103" spans="1:14" x14ac:dyDescent="0.3">
      <c r="A103" t="s">
        <v>155</v>
      </c>
      <c r="B103" t="s">
        <v>15</v>
      </c>
      <c r="C103" t="s">
        <v>22</v>
      </c>
      <c r="D103" t="s">
        <v>17</v>
      </c>
      <c r="E103" t="s">
        <v>18</v>
      </c>
      <c r="F103" t="s">
        <v>19</v>
      </c>
      <c r="G103">
        <v>2015</v>
      </c>
      <c r="H103">
        <v>20138.099999999999</v>
      </c>
      <c r="I103">
        <v>15305.8</v>
      </c>
      <c r="J103">
        <v>4841.7</v>
      </c>
      <c r="K103">
        <v>13558.6</v>
      </c>
      <c r="L103" s="5">
        <v>0.67328099470000002</v>
      </c>
      <c r="M103">
        <v>6579.5</v>
      </c>
      <c r="N103" s="5">
        <v>0.32671900530000003</v>
      </c>
    </row>
    <row r="104" spans="1:14" x14ac:dyDescent="0.3">
      <c r="A104" t="s">
        <v>156</v>
      </c>
      <c r="B104" t="s">
        <v>15</v>
      </c>
      <c r="C104" t="s">
        <v>22</v>
      </c>
      <c r="D104" t="s">
        <v>17</v>
      </c>
      <c r="E104" t="s">
        <v>18</v>
      </c>
      <c r="F104" t="s">
        <v>19</v>
      </c>
      <c r="G104">
        <v>2007</v>
      </c>
      <c r="H104">
        <v>20091.099999999999</v>
      </c>
      <c r="I104">
        <v>18765.5</v>
      </c>
      <c r="J104">
        <v>1328</v>
      </c>
      <c r="K104">
        <v>12865.2</v>
      </c>
      <c r="L104" s="5">
        <v>0.64034323660000003</v>
      </c>
      <c r="M104">
        <v>7225.9</v>
      </c>
      <c r="N104" s="5">
        <v>0.35965676340000002</v>
      </c>
    </row>
    <row r="105" spans="1:14" x14ac:dyDescent="0.3">
      <c r="A105" t="s">
        <v>157</v>
      </c>
      <c r="B105" t="s">
        <v>15</v>
      </c>
      <c r="C105" t="s">
        <v>22</v>
      </c>
      <c r="D105" t="s">
        <v>17</v>
      </c>
      <c r="E105" t="s">
        <v>18</v>
      </c>
      <c r="F105" t="s">
        <v>19</v>
      </c>
      <c r="G105">
        <v>2015</v>
      </c>
      <c r="H105">
        <v>19977.5</v>
      </c>
      <c r="I105">
        <v>9365.1</v>
      </c>
      <c r="J105">
        <v>10617.1</v>
      </c>
      <c r="K105">
        <v>5320.2</v>
      </c>
      <c r="L105" s="5">
        <v>0.26630959830000001</v>
      </c>
      <c r="M105">
        <v>14657.3</v>
      </c>
      <c r="N105" s="5">
        <v>0.73369040170000011</v>
      </c>
    </row>
    <row r="106" spans="1:14" x14ac:dyDescent="0.3">
      <c r="A106" t="s">
        <v>158</v>
      </c>
      <c r="B106" t="s">
        <v>15</v>
      </c>
      <c r="C106" t="s">
        <v>22</v>
      </c>
      <c r="D106" t="s">
        <v>17</v>
      </c>
      <c r="E106" t="s">
        <v>18</v>
      </c>
      <c r="F106" t="s">
        <v>19</v>
      </c>
      <c r="G106">
        <v>2017</v>
      </c>
      <c r="H106">
        <v>19830.5</v>
      </c>
      <c r="I106">
        <v>12351.9</v>
      </c>
      <c r="J106">
        <v>7494</v>
      </c>
      <c r="K106">
        <v>8302.6</v>
      </c>
      <c r="L106" s="5">
        <v>0.4186782986</v>
      </c>
      <c r="M106">
        <v>11527.9</v>
      </c>
      <c r="N106" s="5">
        <v>0.58132170139999995</v>
      </c>
    </row>
    <row r="107" spans="1:14" x14ac:dyDescent="0.3">
      <c r="A107" t="s">
        <v>159</v>
      </c>
      <c r="B107" t="s">
        <v>15</v>
      </c>
      <c r="C107" t="s">
        <v>22</v>
      </c>
      <c r="D107" t="s">
        <v>17</v>
      </c>
      <c r="E107" t="s">
        <v>99</v>
      </c>
      <c r="F107" t="s">
        <v>19</v>
      </c>
      <c r="G107">
        <v>2019</v>
      </c>
      <c r="H107">
        <v>19727.2</v>
      </c>
      <c r="I107">
        <v>19690.8</v>
      </c>
      <c r="J107">
        <v>47.3</v>
      </c>
      <c r="K107">
        <v>15838.7</v>
      </c>
      <c r="L107" s="5">
        <v>0.80288637009999997</v>
      </c>
      <c r="M107">
        <v>3888.5</v>
      </c>
      <c r="N107" s="5">
        <v>0.1971136299</v>
      </c>
    </row>
    <row r="108" spans="1:14" x14ac:dyDescent="0.3">
      <c r="A108" t="s">
        <v>160</v>
      </c>
      <c r="B108" t="s">
        <v>15</v>
      </c>
      <c r="C108" t="s">
        <v>161</v>
      </c>
      <c r="D108" t="s">
        <v>17</v>
      </c>
      <c r="E108" t="s">
        <v>61</v>
      </c>
      <c r="F108" t="s">
        <v>19</v>
      </c>
      <c r="G108">
        <v>2013</v>
      </c>
      <c r="H108">
        <v>19707.8</v>
      </c>
      <c r="I108">
        <v>17829.8</v>
      </c>
      <c r="J108">
        <v>1883.3</v>
      </c>
      <c r="K108">
        <v>250.7</v>
      </c>
      <c r="L108" s="5">
        <v>1.2720851639999999E-2</v>
      </c>
      <c r="M108">
        <v>19457.099999999999</v>
      </c>
      <c r="N108" s="5">
        <v>0.98727914839999997</v>
      </c>
    </row>
    <row r="109" spans="1:14" x14ac:dyDescent="0.3">
      <c r="A109" t="s">
        <v>162</v>
      </c>
      <c r="B109" t="s">
        <v>15</v>
      </c>
      <c r="C109" t="s">
        <v>163</v>
      </c>
      <c r="D109" t="s">
        <v>25</v>
      </c>
      <c r="E109" t="s">
        <v>26</v>
      </c>
      <c r="F109" t="s">
        <v>19</v>
      </c>
      <c r="G109">
        <v>2014</v>
      </c>
      <c r="H109">
        <v>19528.3</v>
      </c>
      <c r="I109">
        <v>7512.9</v>
      </c>
      <c r="J109">
        <v>12015.4</v>
      </c>
      <c r="K109">
        <v>2397.8000000000002</v>
      </c>
      <c r="L109" s="5">
        <v>0.12278590559999999</v>
      </c>
      <c r="M109">
        <v>17130.5</v>
      </c>
      <c r="N109" s="5">
        <v>0.87721409439999998</v>
      </c>
    </row>
    <row r="110" spans="1:14" x14ac:dyDescent="0.3">
      <c r="A110" t="s">
        <v>164</v>
      </c>
      <c r="B110" t="s">
        <v>15</v>
      </c>
      <c r="C110" t="s">
        <v>22</v>
      </c>
      <c r="D110" t="s">
        <v>17</v>
      </c>
      <c r="E110" t="s">
        <v>58</v>
      </c>
      <c r="F110" t="s">
        <v>49</v>
      </c>
      <c r="G110">
        <v>2011</v>
      </c>
      <c r="H110">
        <v>19440.5</v>
      </c>
      <c r="I110">
        <v>19435.599999999999</v>
      </c>
      <c r="J110">
        <v>14.3</v>
      </c>
      <c r="K110">
        <v>18793.5</v>
      </c>
      <c r="L110" s="5">
        <v>0.96671896300000004</v>
      </c>
      <c r="M110">
        <v>647</v>
      </c>
      <c r="N110" s="5">
        <v>3.328103701E-2</v>
      </c>
    </row>
    <row r="111" spans="1:14" x14ac:dyDescent="0.3">
      <c r="A111" t="s">
        <v>165</v>
      </c>
      <c r="B111" t="s">
        <v>15</v>
      </c>
      <c r="C111" t="s">
        <v>22</v>
      </c>
      <c r="D111" t="s">
        <v>17</v>
      </c>
      <c r="E111" t="s">
        <v>18</v>
      </c>
      <c r="F111" t="s">
        <v>19</v>
      </c>
      <c r="G111">
        <v>2008</v>
      </c>
      <c r="H111">
        <v>19383.5</v>
      </c>
      <c r="I111">
        <v>2977.3</v>
      </c>
      <c r="J111">
        <v>16406.099999999999</v>
      </c>
      <c r="K111">
        <v>809.7</v>
      </c>
      <c r="L111" s="5">
        <v>4.177264168E-2</v>
      </c>
      <c r="M111">
        <v>18573.8</v>
      </c>
      <c r="N111" s="5">
        <v>0.95822735829999994</v>
      </c>
    </row>
    <row r="112" spans="1:14" x14ac:dyDescent="0.3">
      <c r="A112" t="s">
        <v>166</v>
      </c>
      <c r="B112" t="s">
        <v>15</v>
      </c>
      <c r="C112" t="s">
        <v>167</v>
      </c>
      <c r="D112" t="s">
        <v>168</v>
      </c>
      <c r="E112" t="s">
        <v>169</v>
      </c>
      <c r="F112" t="s">
        <v>49</v>
      </c>
      <c r="G112">
        <v>2008</v>
      </c>
      <c r="H112">
        <v>19231.7</v>
      </c>
      <c r="I112">
        <v>15881.4</v>
      </c>
      <c r="J112">
        <v>3360.5</v>
      </c>
      <c r="K112">
        <v>15399.4</v>
      </c>
      <c r="L112" s="5">
        <v>0.80073004469999998</v>
      </c>
      <c r="M112">
        <v>3832.3</v>
      </c>
      <c r="N112" s="5">
        <v>0.1992699553</v>
      </c>
    </row>
    <row r="113" spans="1:14" x14ac:dyDescent="0.3">
      <c r="A113" t="s">
        <v>170</v>
      </c>
      <c r="B113" t="s">
        <v>15</v>
      </c>
      <c r="C113" t="s">
        <v>22</v>
      </c>
      <c r="D113" t="s">
        <v>17</v>
      </c>
      <c r="E113" t="s">
        <v>99</v>
      </c>
      <c r="F113" t="s">
        <v>19</v>
      </c>
      <c r="G113">
        <v>2014</v>
      </c>
      <c r="H113">
        <v>19101.599999999999</v>
      </c>
      <c r="I113">
        <v>17465.400000000001</v>
      </c>
      <c r="J113">
        <v>1647.2</v>
      </c>
      <c r="K113">
        <v>16648</v>
      </c>
      <c r="L113" s="5">
        <v>0.87155002719999997</v>
      </c>
      <c r="M113">
        <v>2453.6</v>
      </c>
      <c r="N113" s="5">
        <v>0.12844997280000001</v>
      </c>
    </row>
    <row r="114" spans="1:14" x14ac:dyDescent="0.3">
      <c r="A114" t="s">
        <v>171</v>
      </c>
      <c r="B114" t="s">
        <v>15</v>
      </c>
      <c r="C114" t="s">
        <v>34</v>
      </c>
      <c r="D114" t="s">
        <v>17</v>
      </c>
      <c r="E114" t="s">
        <v>52</v>
      </c>
      <c r="F114" t="s">
        <v>19</v>
      </c>
      <c r="G114">
        <v>1969</v>
      </c>
      <c r="H114">
        <v>19090.400000000001</v>
      </c>
      <c r="I114">
        <v>17435.400000000001</v>
      </c>
      <c r="J114">
        <v>1662.4</v>
      </c>
      <c r="K114">
        <v>12211.1</v>
      </c>
      <c r="L114" s="5">
        <v>0.63964610479999995</v>
      </c>
      <c r="M114">
        <v>6879.3</v>
      </c>
      <c r="N114" s="5">
        <v>0.36035389520000005</v>
      </c>
    </row>
    <row r="115" spans="1:14" x14ac:dyDescent="0.3">
      <c r="A115" t="s">
        <v>172</v>
      </c>
      <c r="B115" t="s">
        <v>15</v>
      </c>
      <c r="C115" t="s">
        <v>43</v>
      </c>
      <c r="D115" t="s">
        <v>25</v>
      </c>
      <c r="E115" t="s">
        <v>83</v>
      </c>
      <c r="F115" t="s">
        <v>19</v>
      </c>
      <c r="G115">
        <v>2016</v>
      </c>
      <c r="H115">
        <v>18912.7</v>
      </c>
      <c r="I115">
        <v>8490.9</v>
      </c>
      <c r="J115">
        <v>10429.4</v>
      </c>
      <c r="K115">
        <v>5716.7</v>
      </c>
      <c r="L115" s="5">
        <v>0.30226778830000001</v>
      </c>
      <c r="M115">
        <v>13196</v>
      </c>
      <c r="N115" s="5">
        <v>0.69773221169999999</v>
      </c>
    </row>
    <row r="116" spans="1:14" x14ac:dyDescent="0.3">
      <c r="A116" t="s">
        <v>173</v>
      </c>
      <c r="B116" t="s">
        <v>15</v>
      </c>
      <c r="C116" t="s">
        <v>22</v>
      </c>
      <c r="D116" t="s">
        <v>17</v>
      </c>
      <c r="E116" t="s">
        <v>18</v>
      </c>
      <c r="F116" t="s">
        <v>19</v>
      </c>
      <c r="G116">
        <v>2016</v>
      </c>
      <c r="H116">
        <v>18889.599999999999</v>
      </c>
      <c r="I116">
        <v>11762.8</v>
      </c>
      <c r="J116">
        <v>7126.8</v>
      </c>
      <c r="K116">
        <v>5822.1</v>
      </c>
      <c r="L116" s="5">
        <v>0.30821722009999997</v>
      </c>
      <c r="M116">
        <v>13067.5</v>
      </c>
      <c r="N116" s="5">
        <v>0.69178277990000003</v>
      </c>
    </row>
    <row r="117" spans="1:14" x14ac:dyDescent="0.3">
      <c r="A117" t="s">
        <v>174</v>
      </c>
      <c r="B117" t="s">
        <v>21</v>
      </c>
      <c r="C117" t="s">
        <v>16</v>
      </c>
      <c r="D117" t="s">
        <v>17</v>
      </c>
      <c r="E117" t="s">
        <v>23</v>
      </c>
      <c r="F117" t="s">
        <v>19</v>
      </c>
      <c r="G117">
        <v>2017</v>
      </c>
      <c r="H117">
        <v>18707.3</v>
      </c>
      <c r="I117">
        <v>16893.7</v>
      </c>
      <c r="J117">
        <v>1823.3</v>
      </c>
      <c r="K117">
        <v>15280.9</v>
      </c>
      <c r="L117" s="5">
        <v>0.81684155380000012</v>
      </c>
      <c r="M117">
        <v>3426.4</v>
      </c>
      <c r="N117" s="5">
        <v>0.18315844619999999</v>
      </c>
    </row>
    <row r="118" spans="1:14" x14ac:dyDescent="0.3">
      <c r="A118" t="s">
        <v>175</v>
      </c>
      <c r="B118" t="s">
        <v>15</v>
      </c>
      <c r="C118" t="s">
        <v>22</v>
      </c>
      <c r="D118" t="s">
        <v>17</v>
      </c>
      <c r="E118" t="s">
        <v>18</v>
      </c>
      <c r="F118" t="s">
        <v>19</v>
      </c>
      <c r="G118">
        <v>2014</v>
      </c>
      <c r="H118">
        <v>18649.5</v>
      </c>
      <c r="I118">
        <v>17855.2</v>
      </c>
      <c r="J118">
        <v>801</v>
      </c>
      <c r="K118">
        <v>9452.7000000000007</v>
      </c>
      <c r="L118" s="5">
        <v>0.50686077370000004</v>
      </c>
      <c r="M118">
        <v>9196.7999999999993</v>
      </c>
      <c r="N118" s="5">
        <v>0.49313922630000001</v>
      </c>
    </row>
    <row r="119" spans="1:14" x14ac:dyDescent="0.3">
      <c r="A119" t="s">
        <v>176</v>
      </c>
      <c r="B119" t="s">
        <v>15</v>
      </c>
      <c r="C119" t="s">
        <v>22</v>
      </c>
      <c r="D119" t="s">
        <v>17</v>
      </c>
      <c r="E119" t="s">
        <v>52</v>
      </c>
      <c r="F119" t="s">
        <v>49</v>
      </c>
      <c r="G119">
        <v>1983</v>
      </c>
      <c r="H119">
        <v>18627</v>
      </c>
      <c r="I119">
        <v>18557</v>
      </c>
      <c r="J119">
        <v>77.900000000000006</v>
      </c>
      <c r="K119">
        <v>18283.099999999999</v>
      </c>
      <c r="L119" s="5">
        <v>0.98153755300000001</v>
      </c>
      <c r="M119">
        <v>343.9</v>
      </c>
      <c r="N119" s="5">
        <v>1.8462446990000003E-2</v>
      </c>
    </row>
    <row r="120" spans="1:14" x14ac:dyDescent="0.3">
      <c r="A120" t="s">
        <v>177</v>
      </c>
      <c r="B120" t="s">
        <v>15</v>
      </c>
      <c r="C120" t="s">
        <v>22</v>
      </c>
      <c r="D120" t="s">
        <v>25</v>
      </c>
      <c r="E120" t="s">
        <v>26</v>
      </c>
      <c r="F120" t="s">
        <v>19</v>
      </c>
      <c r="G120">
        <v>2003</v>
      </c>
      <c r="H120">
        <v>18580.599999999999</v>
      </c>
      <c r="I120">
        <v>14990.8</v>
      </c>
      <c r="J120">
        <v>3601.2</v>
      </c>
      <c r="K120">
        <v>8321.9</v>
      </c>
      <c r="L120" s="5">
        <v>0.44788112329999996</v>
      </c>
      <c r="M120">
        <v>10258.700000000001</v>
      </c>
      <c r="N120" s="5">
        <v>0.55211887670000004</v>
      </c>
    </row>
    <row r="121" spans="1:14" x14ac:dyDescent="0.3">
      <c r="A121" t="s">
        <v>178</v>
      </c>
      <c r="B121" t="s">
        <v>15</v>
      </c>
      <c r="C121" t="s">
        <v>22</v>
      </c>
      <c r="D121" t="s">
        <v>17</v>
      </c>
      <c r="E121" t="s">
        <v>28</v>
      </c>
      <c r="F121" t="s">
        <v>19</v>
      </c>
      <c r="G121">
        <v>1994</v>
      </c>
      <c r="H121">
        <v>18413.2</v>
      </c>
      <c r="I121">
        <v>12525.4</v>
      </c>
      <c r="J121">
        <v>5896.3</v>
      </c>
      <c r="K121">
        <v>5222.1000000000004</v>
      </c>
      <c r="L121" s="5">
        <v>0.28360632590000001</v>
      </c>
      <c r="M121">
        <v>13191.1</v>
      </c>
      <c r="N121" s="5">
        <v>0.7163936741000001</v>
      </c>
    </row>
    <row r="122" spans="1:14" x14ac:dyDescent="0.3">
      <c r="A122" t="s">
        <v>179</v>
      </c>
      <c r="B122" t="s">
        <v>15</v>
      </c>
      <c r="C122" t="s">
        <v>22</v>
      </c>
      <c r="D122" t="s">
        <v>17</v>
      </c>
      <c r="E122" t="s">
        <v>23</v>
      </c>
      <c r="F122" t="s">
        <v>19</v>
      </c>
      <c r="G122">
        <v>2015</v>
      </c>
      <c r="H122">
        <v>18309.3</v>
      </c>
      <c r="I122">
        <v>14642.3</v>
      </c>
      <c r="J122">
        <v>3673.3</v>
      </c>
      <c r="K122">
        <v>8613.7000000000007</v>
      </c>
      <c r="L122" s="5">
        <v>0.47045490540000001</v>
      </c>
      <c r="M122">
        <v>9695.6</v>
      </c>
      <c r="N122" s="5">
        <v>0.52954509459999999</v>
      </c>
    </row>
    <row r="123" spans="1:14" x14ac:dyDescent="0.3">
      <c r="A123" t="s">
        <v>180</v>
      </c>
      <c r="B123" t="s">
        <v>15</v>
      </c>
      <c r="C123" t="s">
        <v>22</v>
      </c>
      <c r="D123" t="s">
        <v>17</v>
      </c>
      <c r="E123" t="s">
        <v>23</v>
      </c>
      <c r="F123" t="s">
        <v>19</v>
      </c>
      <c r="G123">
        <v>2002</v>
      </c>
      <c r="H123">
        <v>18270.8</v>
      </c>
      <c r="I123">
        <v>13165.8</v>
      </c>
      <c r="J123">
        <v>5114.8999999999996</v>
      </c>
      <c r="K123">
        <v>8899.2000000000007</v>
      </c>
      <c r="L123" s="5">
        <v>0.48707226830000006</v>
      </c>
      <c r="M123">
        <v>9371.6</v>
      </c>
      <c r="N123" s="5">
        <v>0.51292773169999994</v>
      </c>
    </row>
    <row r="124" spans="1:14" x14ac:dyDescent="0.3">
      <c r="A124" t="s">
        <v>181</v>
      </c>
      <c r="B124" t="s">
        <v>15</v>
      </c>
      <c r="C124" t="s">
        <v>182</v>
      </c>
      <c r="D124" t="s">
        <v>17</v>
      </c>
      <c r="E124" t="s">
        <v>61</v>
      </c>
      <c r="F124" t="s">
        <v>19</v>
      </c>
      <c r="G124">
        <v>1994</v>
      </c>
      <c r="H124">
        <v>18217.099999999999</v>
      </c>
      <c r="I124">
        <v>13653.1</v>
      </c>
      <c r="J124">
        <v>4569.1000000000004</v>
      </c>
      <c r="K124">
        <v>3490.5</v>
      </c>
      <c r="L124" s="5">
        <v>0.19160568919999998</v>
      </c>
      <c r="M124">
        <v>14726.6</v>
      </c>
      <c r="N124" s="5">
        <v>0.80839431080000002</v>
      </c>
    </row>
    <row r="125" spans="1:14" x14ac:dyDescent="0.3">
      <c r="A125" t="s">
        <v>183</v>
      </c>
      <c r="B125" t="s">
        <v>15</v>
      </c>
      <c r="C125" t="s">
        <v>184</v>
      </c>
      <c r="D125" t="s">
        <v>17</v>
      </c>
      <c r="E125" t="s">
        <v>185</v>
      </c>
      <c r="F125" t="s">
        <v>19</v>
      </c>
      <c r="G125">
        <v>1996</v>
      </c>
      <c r="H125">
        <v>18203.3</v>
      </c>
      <c r="I125">
        <v>9674.9</v>
      </c>
      <c r="J125">
        <v>8539.4</v>
      </c>
      <c r="K125">
        <v>4460.6000000000004</v>
      </c>
      <c r="L125" s="5">
        <v>0.24504348109999999</v>
      </c>
      <c r="M125">
        <v>13742.7</v>
      </c>
      <c r="N125" s="5">
        <v>0.75495651890000004</v>
      </c>
    </row>
    <row r="126" spans="1:14" x14ac:dyDescent="0.3">
      <c r="A126" t="s">
        <v>186</v>
      </c>
      <c r="B126" t="s">
        <v>15</v>
      </c>
      <c r="C126" t="s">
        <v>22</v>
      </c>
      <c r="D126" t="s">
        <v>17</v>
      </c>
      <c r="E126" t="s">
        <v>18</v>
      </c>
      <c r="F126" t="s">
        <v>19</v>
      </c>
      <c r="G126">
        <v>2008</v>
      </c>
      <c r="H126">
        <v>18064.3</v>
      </c>
      <c r="I126">
        <v>7403</v>
      </c>
      <c r="J126">
        <v>10664.8</v>
      </c>
      <c r="K126">
        <v>2757.4</v>
      </c>
      <c r="L126" s="5">
        <v>0.15264361199999998</v>
      </c>
      <c r="M126">
        <v>15306.9</v>
      </c>
      <c r="N126" s="5">
        <v>0.84735638800000002</v>
      </c>
    </row>
    <row r="127" spans="1:14" x14ac:dyDescent="0.3">
      <c r="A127" t="s">
        <v>187</v>
      </c>
      <c r="B127" t="s">
        <v>21</v>
      </c>
      <c r="C127" t="s">
        <v>43</v>
      </c>
      <c r="D127" t="s">
        <v>17</v>
      </c>
      <c r="E127" t="s">
        <v>28</v>
      </c>
      <c r="F127" t="s">
        <v>19</v>
      </c>
      <c r="G127">
        <v>2012</v>
      </c>
      <c r="H127">
        <v>18005.3</v>
      </c>
      <c r="I127">
        <v>10367</v>
      </c>
      <c r="J127">
        <v>7646.6</v>
      </c>
      <c r="K127">
        <v>7259.1</v>
      </c>
      <c r="L127" s="5">
        <v>0.40316462370000006</v>
      </c>
      <c r="M127">
        <v>10746.2</v>
      </c>
      <c r="N127" s="5">
        <v>0.59683537629999994</v>
      </c>
    </row>
    <row r="128" spans="1:14" x14ac:dyDescent="0.3">
      <c r="A128" t="s">
        <v>188</v>
      </c>
      <c r="B128" t="s">
        <v>15</v>
      </c>
      <c r="C128" t="s">
        <v>22</v>
      </c>
      <c r="D128" t="s">
        <v>17</v>
      </c>
      <c r="E128" t="s">
        <v>18</v>
      </c>
      <c r="F128" t="s">
        <v>19</v>
      </c>
      <c r="G128">
        <v>2009</v>
      </c>
      <c r="H128">
        <v>17738.8</v>
      </c>
      <c r="I128">
        <v>11748.1</v>
      </c>
      <c r="J128">
        <v>5997.1</v>
      </c>
      <c r="K128">
        <v>7693.4</v>
      </c>
      <c r="L128" s="5">
        <v>0.43370464740000003</v>
      </c>
      <c r="M128">
        <v>10045.4</v>
      </c>
      <c r="N128" s="5">
        <v>0.56629535259999997</v>
      </c>
    </row>
    <row r="129" spans="1:14" x14ac:dyDescent="0.3">
      <c r="A129" t="s">
        <v>189</v>
      </c>
      <c r="B129" t="s">
        <v>15</v>
      </c>
      <c r="C129" t="s">
        <v>22</v>
      </c>
      <c r="D129" t="s">
        <v>17</v>
      </c>
      <c r="E129" t="s">
        <v>23</v>
      </c>
      <c r="F129" t="s">
        <v>19</v>
      </c>
      <c r="G129">
        <v>2009</v>
      </c>
      <c r="H129">
        <v>17720.2</v>
      </c>
      <c r="I129">
        <v>13610.1</v>
      </c>
      <c r="J129">
        <v>4116.2</v>
      </c>
      <c r="K129">
        <v>8342.7000000000007</v>
      </c>
      <c r="L129" s="5">
        <v>0.470801684</v>
      </c>
      <c r="M129">
        <v>9377.5</v>
      </c>
      <c r="N129" s="5">
        <v>0.529198316</v>
      </c>
    </row>
    <row r="130" spans="1:14" x14ac:dyDescent="0.3">
      <c r="A130" t="s">
        <v>190</v>
      </c>
      <c r="B130" t="s">
        <v>21</v>
      </c>
      <c r="C130" t="s">
        <v>46</v>
      </c>
      <c r="D130" t="s">
        <v>47</v>
      </c>
      <c r="E130" t="s">
        <v>48</v>
      </c>
      <c r="F130" t="s">
        <v>49</v>
      </c>
      <c r="G130">
        <v>2016</v>
      </c>
      <c r="H130">
        <v>17517.400000000001</v>
      </c>
      <c r="I130">
        <v>7595.2</v>
      </c>
      <c r="J130">
        <v>9927.7999999999993</v>
      </c>
      <c r="K130">
        <v>15415.4</v>
      </c>
      <c r="L130" s="5">
        <v>0.88000502359999999</v>
      </c>
      <c r="M130">
        <v>2102</v>
      </c>
      <c r="N130" s="5">
        <v>0.11999497639999999</v>
      </c>
    </row>
    <row r="131" spans="1:14" x14ac:dyDescent="0.3">
      <c r="A131" t="s">
        <v>191</v>
      </c>
      <c r="B131" t="s">
        <v>15</v>
      </c>
      <c r="C131" t="s">
        <v>22</v>
      </c>
      <c r="D131" t="s">
        <v>25</v>
      </c>
      <c r="E131" t="s">
        <v>26</v>
      </c>
      <c r="F131" t="s">
        <v>19</v>
      </c>
      <c r="G131">
        <v>2017</v>
      </c>
      <c r="H131">
        <v>17516.099999999999</v>
      </c>
      <c r="I131">
        <v>16311.4</v>
      </c>
      <c r="J131">
        <v>1210.7</v>
      </c>
      <c r="K131">
        <v>2137.8000000000002</v>
      </c>
      <c r="L131" s="5">
        <v>0.12204771609999999</v>
      </c>
      <c r="M131">
        <v>15378.3</v>
      </c>
      <c r="N131" s="5">
        <v>0.87795228390000002</v>
      </c>
    </row>
    <row r="132" spans="1:14" x14ac:dyDescent="0.3">
      <c r="A132" t="s">
        <v>192</v>
      </c>
      <c r="B132" t="s">
        <v>21</v>
      </c>
      <c r="C132" t="s">
        <v>22</v>
      </c>
      <c r="D132" t="s">
        <v>17</v>
      </c>
      <c r="E132" t="s">
        <v>23</v>
      </c>
      <c r="F132" t="s">
        <v>19</v>
      </c>
      <c r="G132">
        <v>2014</v>
      </c>
      <c r="H132">
        <v>17440.2</v>
      </c>
      <c r="I132">
        <v>5933.3</v>
      </c>
      <c r="J132">
        <v>11512.1</v>
      </c>
      <c r="K132">
        <v>2784</v>
      </c>
      <c r="L132" s="5">
        <v>0.15963119689999999</v>
      </c>
      <c r="M132">
        <v>14656.2</v>
      </c>
      <c r="N132" s="5">
        <v>0.84036880310000006</v>
      </c>
    </row>
    <row r="133" spans="1:14" x14ac:dyDescent="0.3">
      <c r="A133" t="s">
        <v>193</v>
      </c>
      <c r="B133" t="s">
        <v>15</v>
      </c>
      <c r="C133" t="s">
        <v>60</v>
      </c>
      <c r="D133" t="s">
        <v>17</v>
      </c>
      <c r="E133" t="s">
        <v>61</v>
      </c>
      <c r="F133" t="s">
        <v>49</v>
      </c>
      <c r="G133">
        <v>1994</v>
      </c>
      <c r="H133">
        <v>17316.599999999999</v>
      </c>
      <c r="I133">
        <v>10309.700000000001</v>
      </c>
      <c r="J133">
        <v>7013.9</v>
      </c>
      <c r="K133">
        <v>6283</v>
      </c>
      <c r="L133" s="5">
        <v>0.3628310407</v>
      </c>
      <c r="M133">
        <v>11033.6</v>
      </c>
      <c r="N133" s="5">
        <v>0.63716895929999995</v>
      </c>
    </row>
    <row r="134" spans="1:14" x14ac:dyDescent="0.3">
      <c r="A134" t="s">
        <v>194</v>
      </c>
      <c r="B134" t="s">
        <v>15</v>
      </c>
      <c r="C134" t="s">
        <v>90</v>
      </c>
      <c r="D134" t="s">
        <v>25</v>
      </c>
      <c r="E134" t="s">
        <v>83</v>
      </c>
      <c r="F134" t="s">
        <v>19</v>
      </c>
      <c r="G134">
        <v>1982</v>
      </c>
      <c r="H134">
        <v>17314.099999999999</v>
      </c>
      <c r="I134">
        <v>17301.5</v>
      </c>
      <c r="J134">
        <v>20</v>
      </c>
      <c r="K134">
        <v>17281</v>
      </c>
      <c r="L134" s="5">
        <v>0.9980882633</v>
      </c>
      <c r="M134">
        <v>33.1</v>
      </c>
      <c r="N134" s="5">
        <v>1.9117366769999999E-3</v>
      </c>
    </row>
    <row r="135" spans="1:14" x14ac:dyDescent="0.3">
      <c r="A135" t="s">
        <v>195</v>
      </c>
      <c r="B135" t="s">
        <v>21</v>
      </c>
      <c r="C135" t="s">
        <v>22</v>
      </c>
      <c r="D135" t="s">
        <v>17</v>
      </c>
      <c r="E135" t="s">
        <v>23</v>
      </c>
      <c r="F135" t="s">
        <v>19</v>
      </c>
      <c r="G135">
        <v>2008</v>
      </c>
      <c r="H135">
        <v>17119.5</v>
      </c>
      <c r="I135">
        <v>11625.6</v>
      </c>
      <c r="J135">
        <v>5498.6</v>
      </c>
      <c r="K135">
        <v>10006</v>
      </c>
      <c r="L135" s="5">
        <v>0.58447968690000007</v>
      </c>
      <c r="M135">
        <v>7113.5</v>
      </c>
      <c r="N135" s="5">
        <v>0.41552031309999998</v>
      </c>
    </row>
    <row r="136" spans="1:14" x14ac:dyDescent="0.3">
      <c r="A136" t="s">
        <v>196</v>
      </c>
      <c r="B136" t="s">
        <v>15</v>
      </c>
      <c r="C136" t="s">
        <v>197</v>
      </c>
      <c r="D136" t="s">
        <v>17</v>
      </c>
      <c r="E136" t="s">
        <v>28</v>
      </c>
      <c r="F136" t="s">
        <v>19</v>
      </c>
      <c r="G136">
        <v>2004</v>
      </c>
      <c r="H136">
        <v>17056</v>
      </c>
      <c r="I136">
        <v>8007.4</v>
      </c>
      <c r="J136">
        <v>9059.5</v>
      </c>
      <c r="K136">
        <v>4403.1000000000004</v>
      </c>
      <c r="L136" s="5">
        <v>0.25815548780000003</v>
      </c>
      <c r="M136">
        <v>12652.9</v>
      </c>
      <c r="N136" s="5">
        <v>0.74184451220000003</v>
      </c>
    </row>
    <row r="137" spans="1:14" x14ac:dyDescent="0.3">
      <c r="A137" t="s">
        <v>198</v>
      </c>
      <c r="B137" t="s">
        <v>15</v>
      </c>
      <c r="C137" t="s">
        <v>95</v>
      </c>
      <c r="D137" t="s">
        <v>17</v>
      </c>
      <c r="E137" t="s">
        <v>52</v>
      </c>
      <c r="F137" t="s">
        <v>49</v>
      </c>
      <c r="G137">
        <v>1975</v>
      </c>
      <c r="H137">
        <v>17010.5</v>
      </c>
      <c r="I137">
        <v>17018</v>
      </c>
      <c r="J137">
        <v>0</v>
      </c>
      <c r="K137">
        <v>17010.5</v>
      </c>
      <c r="L137" s="5">
        <v>1</v>
      </c>
      <c r="M137">
        <v>0</v>
      </c>
      <c r="N137" s="5">
        <v>0</v>
      </c>
    </row>
    <row r="138" spans="1:14" x14ac:dyDescent="0.3">
      <c r="A138" t="s">
        <v>199</v>
      </c>
      <c r="B138" t="s">
        <v>15</v>
      </c>
      <c r="C138" t="s">
        <v>43</v>
      </c>
      <c r="D138" t="s">
        <v>25</v>
      </c>
      <c r="E138" t="s">
        <v>83</v>
      </c>
      <c r="F138" t="s">
        <v>19</v>
      </c>
      <c r="G138">
        <v>2013</v>
      </c>
      <c r="H138">
        <v>16984.3</v>
      </c>
      <c r="I138">
        <v>10969.8</v>
      </c>
      <c r="J138">
        <v>6018.9</v>
      </c>
      <c r="K138">
        <v>4419.3</v>
      </c>
      <c r="L138" s="5">
        <v>0.26019912509999998</v>
      </c>
      <c r="M138">
        <v>12565</v>
      </c>
      <c r="N138" s="5">
        <v>0.73980087490000002</v>
      </c>
    </row>
    <row r="139" spans="1:14" x14ac:dyDescent="0.3">
      <c r="A139" t="s">
        <v>200</v>
      </c>
      <c r="B139" t="s">
        <v>15</v>
      </c>
      <c r="C139" t="s">
        <v>90</v>
      </c>
      <c r="D139" t="s">
        <v>25</v>
      </c>
      <c r="E139" t="s">
        <v>91</v>
      </c>
      <c r="F139" t="s">
        <v>19</v>
      </c>
      <c r="G139">
        <v>2010</v>
      </c>
      <c r="H139">
        <v>16969.400000000001</v>
      </c>
      <c r="I139">
        <v>10480.799999999999</v>
      </c>
      <c r="J139">
        <v>6497.7</v>
      </c>
      <c r="K139">
        <v>7429.1</v>
      </c>
      <c r="L139" s="5">
        <v>0.43779391140000001</v>
      </c>
      <c r="M139">
        <v>9540.2999999999993</v>
      </c>
      <c r="N139" s="5">
        <v>0.56220608859999999</v>
      </c>
    </row>
    <row r="140" spans="1:14" x14ac:dyDescent="0.3">
      <c r="A140" t="s">
        <v>201</v>
      </c>
      <c r="B140" t="s">
        <v>15</v>
      </c>
      <c r="C140" t="s">
        <v>161</v>
      </c>
      <c r="D140" t="s">
        <v>17</v>
      </c>
      <c r="E140" t="s">
        <v>61</v>
      </c>
      <c r="F140" t="s">
        <v>19</v>
      </c>
      <c r="G140">
        <v>2014</v>
      </c>
      <c r="H140">
        <v>16893.400000000001</v>
      </c>
      <c r="I140">
        <v>13879.3</v>
      </c>
      <c r="J140">
        <v>3019.1</v>
      </c>
      <c r="K140">
        <v>5321.5</v>
      </c>
      <c r="L140" s="5">
        <v>0.31500467640000002</v>
      </c>
      <c r="M140">
        <v>11571.9</v>
      </c>
      <c r="N140" s="5">
        <v>0.68499532360000004</v>
      </c>
    </row>
    <row r="141" spans="1:14" x14ac:dyDescent="0.3">
      <c r="A141" t="s">
        <v>202</v>
      </c>
      <c r="B141" t="s">
        <v>15</v>
      </c>
      <c r="C141" t="s">
        <v>22</v>
      </c>
      <c r="D141" t="s">
        <v>17</v>
      </c>
      <c r="E141" t="s">
        <v>18</v>
      </c>
      <c r="F141" t="s">
        <v>19</v>
      </c>
      <c r="G141">
        <v>2016</v>
      </c>
      <c r="H141">
        <v>16877.3</v>
      </c>
      <c r="I141">
        <v>11425.9</v>
      </c>
      <c r="J141">
        <v>5455.1</v>
      </c>
      <c r="K141">
        <v>6395.3</v>
      </c>
      <c r="L141" s="5">
        <v>0.37892909410000003</v>
      </c>
      <c r="M141">
        <v>10482</v>
      </c>
      <c r="N141" s="5">
        <v>0.62107090590000003</v>
      </c>
    </row>
    <row r="142" spans="1:14" x14ac:dyDescent="0.3">
      <c r="A142" t="s">
        <v>203</v>
      </c>
      <c r="B142" t="s">
        <v>79</v>
      </c>
      <c r="C142" t="s">
        <v>34</v>
      </c>
      <c r="D142" t="s">
        <v>17</v>
      </c>
      <c r="E142" t="s">
        <v>52</v>
      </c>
      <c r="F142" t="s">
        <v>49</v>
      </c>
      <c r="G142">
        <v>1967</v>
      </c>
      <c r="H142">
        <v>16577.5</v>
      </c>
      <c r="I142">
        <v>16577.5</v>
      </c>
      <c r="J142">
        <v>0.4</v>
      </c>
      <c r="K142">
        <v>16567.400000000001</v>
      </c>
      <c r="L142" s="5">
        <v>0.99939074049999999</v>
      </c>
      <c r="M142">
        <v>10.1</v>
      </c>
      <c r="N142" s="5">
        <v>6.0925953850000003E-4</v>
      </c>
    </row>
    <row r="143" spans="1:14" x14ac:dyDescent="0.3">
      <c r="A143" t="s">
        <v>204</v>
      </c>
      <c r="B143" t="s">
        <v>15</v>
      </c>
      <c r="C143" t="s">
        <v>205</v>
      </c>
      <c r="D143" t="s">
        <v>17</v>
      </c>
      <c r="E143" t="s">
        <v>52</v>
      </c>
      <c r="F143" t="s">
        <v>19</v>
      </c>
      <c r="G143">
        <v>2013</v>
      </c>
      <c r="H143">
        <v>16556.5</v>
      </c>
      <c r="I143">
        <v>15920.4</v>
      </c>
      <c r="J143">
        <v>641.79999999999995</v>
      </c>
      <c r="K143">
        <v>15519.5</v>
      </c>
      <c r="L143" s="5">
        <v>0.93736598920000003</v>
      </c>
      <c r="M143">
        <v>1037</v>
      </c>
      <c r="N143" s="5">
        <v>6.2634010810000001E-2</v>
      </c>
    </row>
    <row r="144" spans="1:14" x14ac:dyDescent="0.3">
      <c r="A144" t="s">
        <v>206</v>
      </c>
      <c r="B144" t="s">
        <v>21</v>
      </c>
      <c r="C144" t="s">
        <v>34</v>
      </c>
      <c r="D144" t="s">
        <v>17</v>
      </c>
      <c r="E144" t="s">
        <v>23</v>
      </c>
      <c r="F144" t="s">
        <v>19</v>
      </c>
      <c r="G144">
        <v>2009</v>
      </c>
      <c r="H144">
        <v>16553.3</v>
      </c>
      <c r="I144">
        <v>11362.1</v>
      </c>
      <c r="J144">
        <v>5197.6000000000004</v>
      </c>
      <c r="K144">
        <v>8685.9</v>
      </c>
      <c r="L144" s="5">
        <v>0.52472316699999999</v>
      </c>
      <c r="M144">
        <v>7867.4</v>
      </c>
      <c r="N144" s="5">
        <v>0.47527683300000001</v>
      </c>
    </row>
    <row r="145" spans="1:14" x14ac:dyDescent="0.3">
      <c r="A145" t="s">
        <v>207</v>
      </c>
      <c r="B145" t="s">
        <v>15</v>
      </c>
      <c r="C145" t="s">
        <v>34</v>
      </c>
      <c r="D145" t="s">
        <v>17</v>
      </c>
      <c r="E145" t="s">
        <v>52</v>
      </c>
      <c r="F145" t="s">
        <v>49</v>
      </c>
      <c r="G145">
        <v>1992</v>
      </c>
      <c r="H145">
        <v>16454.900000000001</v>
      </c>
      <c r="I145">
        <v>16461.5</v>
      </c>
      <c r="J145">
        <v>3</v>
      </c>
      <c r="K145">
        <v>16382.5</v>
      </c>
      <c r="L145" s="5">
        <v>0.9956000948</v>
      </c>
      <c r="M145">
        <v>72.400000000000006</v>
      </c>
      <c r="N145" s="5">
        <v>4.3999051950000005E-3</v>
      </c>
    </row>
    <row r="146" spans="1:14" x14ac:dyDescent="0.3">
      <c r="A146" t="s">
        <v>208</v>
      </c>
      <c r="B146" t="s">
        <v>15</v>
      </c>
      <c r="C146" t="s">
        <v>22</v>
      </c>
      <c r="D146" t="s">
        <v>17</v>
      </c>
      <c r="E146" t="s">
        <v>18</v>
      </c>
      <c r="F146" t="s">
        <v>19</v>
      </c>
      <c r="G146">
        <v>2007</v>
      </c>
      <c r="H146">
        <v>16428.900000000001</v>
      </c>
      <c r="I146">
        <v>12009.4</v>
      </c>
      <c r="J146">
        <v>4364.5</v>
      </c>
      <c r="K146">
        <v>2139</v>
      </c>
      <c r="L146" s="5">
        <v>0.1301973961</v>
      </c>
      <c r="M146">
        <v>14289.9</v>
      </c>
      <c r="N146" s="5">
        <v>0.86980260389999997</v>
      </c>
    </row>
    <row r="147" spans="1:14" x14ac:dyDescent="0.3">
      <c r="A147" t="s">
        <v>209</v>
      </c>
      <c r="B147" t="s">
        <v>15</v>
      </c>
      <c r="C147" t="s">
        <v>22</v>
      </c>
      <c r="D147" t="s">
        <v>17</v>
      </c>
      <c r="E147" t="s">
        <v>18</v>
      </c>
      <c r="F147" t="s">
        <v>19</v>
      </c>
      <c r="G147">
        <v>2007</v>
      </c>
      <c r="H147">
        <v>16366.1</v>
      </c>
      <c r="I147">
        <v>14784.2</v>
      </c>
      <c r="J147">
        <v>1492.7</v>
      </c>
      <c r="K147">
        <v>4359.8</v>
      </c>
      <c r="L147" s="5">
        <v>0.26639211540000002</v>
      </c>
      <c r="M147">
        <v>12006.3</v>
      </c>
      <c r="N147" s="5">
        <v>0.73360788459999993</v>
      </c>
    </row>
    <row r="148" spans="1:14" x14ac:dyDescent="0.3">
      <c r="A148" t="s">
        <v>210</v>
      </c>
      <c r="B148" t="s">
        <v>21</v>
      </c>
      <c r="C148" t="s">
        <v>22</v>
      </c>
      <c r="D148" t="s">
        <v>17</v>
      </c>
      <c r="E148" t="s">
        <v>23</v>
      </c>
      <c r="F148" t="s">
        <v>19</v>
      </c>
      <c r="G148">
        <v>2000</v>
      </c>
      <c r="H148">
        <v>16271.6</v>
      </c>
      <c r="I148">
        <v>7125.4</v>
      </c>
      <c r="J148">
        <v>9125</v>
      </c>
      <c r="K148">
        <v>11023</v>
      </c>
      <c r="L148" s="5">
        <v>0.67743799010000005</v>
      </c>
      <c r="M148">
        <v>5248.6</v>
      </c>
      <c r="N148" s="5">
        <v>0.32256200990000006</v>
      </c>
    </row>
    <row r="149" spans="1:14" x14ac:dyDescent="0.3">
      <c r="A149" t="s">
        <v>211</v>
      </c>
      <c r="B149" t="s">
        <v>15</v>
      </c>
      <c r="C149" t="s">
        <v>22</v>
      </c>
      <c r="D149" t="s">
        <v>17</v>
      </c>
      <c r="E149" t="s">
        <v>52</v>
      </c>
      <c r="F149" t="s">
        <v>49</v>
      </c>
      <c r="G149">
        <v>1989</v>
      </c>
      <c r="H149">
        <v>16228.7</v>
      </c>
      <c r="I149">
        <v>16236</v>
      </c>
      <c r="J149">
        <v>0</v>
      </c>
      <c r="K149">
        <v>16228.7</v>
      </c>
      <c r="L149" s="5">
        <v>1</v>
      </c>
      <c r="M149">
        <v>0</v>
      </c>
      <c r="N149" s="5">
        <v>0</v>
      </c>
    </row>
    <row r="150" spans="1:14" x14ac:dyDescent="0.3">
      <c r="A150" t="s">
        <v>212</v>
      </c>
      <c r="B150" t="s">
        <v>15</v>
      </c>
      <c r="C150" t="s">
        <v>22</v>
      </c>
      <c r="D150" t="s">
        <v>17</v>
      </c>
      <c r="E150" t="s">
        <v>18</v>
      </c>
      <c r="F150" t="s">
        <v>19</v>
      </c>
      <c r="G150">
        <v>2018</v>
      </c>
      <c r="H150">
        <v>16217.4</v>
      </c>
      <c r="I150">
        <v>14631.5</v>
      </c>
      <c r="J150">
        <v>1588.4</v>
      </c>
      <c r="K150">
        <v>7841.6</v>
      </c>
      <c r="L150" s="5">
        <v>0.48353003559999996</v>
      </c>
      <c r="M150">
        <v>8375.7999999999993</v>
      </c>
      <c r="N150" s="5">
        <v>0.51646996440000004</v>
      </c>
    </row>
    <row r="151" spans="1:14" x14ac:dyDescent="0.3">
      <c r="A151" t="s">
        <v>213</v>
      </c>
      <c r="B151" t="s">
        <v>21</v>
      </c>
      <c r="C151" t="s">
        <v>22</v>
      </c>
      <c r="D151" t="s">
        <v>17</v>
      </c>
      <c r="E151" t="s">
        <v>23</v>
      </c>
      <c r="F151" t="s">
        <v>19</v>
      </c>
      <c r="G151">
        <v>1998</v>
      </c>
      <c r="H151">
        <v>16148.3</v>
      </c>
      <c r="I151">
        <v>14108.3</v>
      </c>
      <c r="J151">
        <v>2048.1</v>
      </c>
      <c r="K151">
        <v>13480.8</v>
      </c>
      <c r="L151" s="5">
        <v>0.83481233320000003</v>
      </c>
      <c r="M151">
        <v>2667.5</v>
      </c>
      <c r="N151" s="5">
        <v>0.16518766679999999</v>
      </c>
    </row>
    <row r="152" spans="1:14" x14ac:dyDescent="0.3">
      <c r="A152" t="s">
        <v>214</v>
      </c>
      <c r="B152" t="s">
        <v>15</v>
      </c>
      <c r="C152" t="s">
        <v>34</v>
      </c>
      <c r="D152" t="s">
        <v>17</v>
      </c>
      <c r="E152" t="s">
        <v>23</v>
      </c>
      <c r="F152" t="s">
        <v>19</v>
      </c>
      <c r="G152">
        <v>2012</v>
      </c>
      <c r="H152">
        <v>16111.6</v>
      </c>
      <c r="I152">
        <v>14817.7</v>
      </c>
      <c r="J152">
        <v>1297.5999999999999</v>
      </c>
      <c r="K152">
        <v>12881.3</v>
      </c>
      <c r="L152" s="5">
        <v>0.79950470470000001</v>
      </c>
      <c r="M152">
        <v>3230.3</v>
      </c>
      <c r="N152" s="5">
        <v>0.20049529530000001</v>
      </c>
    </row>
    <row r="153" spans="1:14" x14ac:dyDescent="0.3">
      <c r="A153" t="s">
        <v>215</v>
      </c>
      <c r="B153" t="s">
        <v>15</v>
      </c>
      <c r="C153" t="s">
        <v>16</v>
      </c>
      <c r="D153" t="s">
        <v>17</v>
      </c>
      <c r="E153" t="s">
        <v>18</v>
      </c>
      <c r="F153" t="s">
        <v>19</v>
      </c>
      <c r="G153">
        <v>2009</v>
      </c>
      <c r="H153">
        <v>16021.1</v>
      </c>
      <c r="I153">
        <v>11602.1</v>
      </c>
      <c r="J153">
        <v>4424.8</v>
      </c>
      <c r="K153">
        <v>8229.4</v>
      </c>
      <c r="L153" s="5">
        <v>0.51366011069999995</v>
      </c>
      <c r="M153">
        <v>7791.7</v>
      </c>
      <c r="N153" s="5">
        <v>0.48633988929999999</v>
      </c>
    </row>
    <row r="154" spans="1:14" x14ac:dyDescent="0.3">
      <c r="A154" t="s">
        <v>216</v>
      </c>
      <c r="B154" t="s">
        <v>15</v>
      </c>
      <c r="C154" t="s">
        <v>22</v>
      </c>
      <c r="D154" t="s">
        <v>17</v>
      </c>
      <c r="E154" t="s">
        <v>18</v>
      </c>
      <c r="F154" t="s">
        <v>19</v>
      </c>
      <c r="G154">
        <v>2006</v>
      </c>
      <c r="H154">
        <v>15952.2</v>
      </c>
      <c r="I154">
        <v>4000.7</v>
      </c>
      <c r="J154">
        <v>11957.2</v>
      </c>
      <c r="K154">
        <v>2951.3</v>
      </c>
      <c r="L154" s="5">
        <v>0.18500896430000002</v>
      </c>
      <c r="M154">
        <v>13000.9</v>
      </c>
      <c r="N154" s="5">
        <v>0.81499103569999998</v>
      </c>
    </row>
    <row r="155" spans="1:14" x14ac:dyDescent="0.3">
      <c r="A155" t="s">
        <v>217</v>
      </c>
      <c r="B155" t="s">
        <v>15</v>
      </c>
      <c r="C155" t="s">
        <v>60</v>
      </c>
      <c r="D155" t="s">
        <v>17</v>
      </c>
      <c r="E155" t="s">
        <v>61</v>
      </c>
      <c r="F155" t="s">
        <v>19</v>
      </c>
      <c r="G155">
        <v>2013</v>
      </c>
      <c r="H155">
        <v>15921.1</v>
      </c>
      <c r="I155">
        <v>12030.1</v>
      </c>
      <c r="J155">
        <v>3896.3</v>
      </c>
      <c r="K155">
        <v>527.5</v>
      </c>
      <c r="L155" s="5">
        <v>3.3132132830000001E-2</v>
      </c>
      <c r="M155">
        <v>15393.6</v>
      </c>
      <c r="N155" s="5">
        <v>0.96686786719999995</v>
      </c>
    </row>
    <row r="156" spans="1:14" x14ac:dyDescent="0.3">
      <c r="A156" t="s">
        <v>218</v>
      </c>
      <c r="B156" t="s">
        <v>15</v>
      </c>
      <c r="C156" t="s">
        <v>16</v>
      </c>
      <c r="D156" t="s">
        <v>17</v>
      </c>
      <c r="E156" t="s">
        <v>28</v>
      </c>
      <c r="F156" t="s">
        <v>19</v>
      </c>
      <c r="G156">
        <v>2014</v>
      </c>
      <c r="H156">
        <v>15876.2</v>
      </c>
      <c r="I156">
        <v>12905.1</v>
      </c>
      <c r="J156">
        <v>2982.4</v>
      </c>
      <c r="K156">
        <v>7353.2</v>
      </c>
      <c r="L156" s="5">
        <v>0.46315869040000002</v>
      </c>
      <c r="M156">
        <v>8523</v>
      </c>
      <c r="N156" s="5">
        <v>0.53684130959999998</v>
      </c>
    </row>
    <row r="157" spans="1:14" x14ac:dyDescent="0.3">
      <c r="A157" t="s">
        <v>219</v>
      </c>
      <c r="B157" t="s">
        <v>79</v>
      </c>
      <c r="C157" t="s">
        <v>22</v>
      </c>
      <c r="D157" t="s">
        <v>17</v>
      </c>
      <c r="E157" t="s">
        <v>18</v>
      </c>
      <c r="F157" t="s">
        <v>49</v>
      </c>
      <c r="G157">
        <v>1998</v>
      </c>
      <c r="H157">
        <v>15775.7</v>
      </c>
      <c r="I157">
        <v>15257.4</v>
      </c>
      <c r="J157">
        <v>527.70000000000005</v>
      </c>
      <c r="K157">
        <v>11623</v>
      </c>
      <c r="L157" s="5">
        <v>0.73676603889999992</v>
      </c>
      <c r="M157">
        <v>4152.7</v>
      </c>
      <c r="N157" s="5">
        <v>0.26323396110000002</v>
      </c>
    </row>
    <row r="158" spans="1:14" x14ac:dyDescent="0.3">
      <c r="A158" t="s">
        <v>220</v>
      </c>
      <c r="B158" t="s">
        <v>15</v>
      </c>
      <c r="C158" t="s">
        <v>22</v>
      </c>
      <c r="D158" t="s">
        <v>17</v>
      </c>
      <c r="E158" t="s">
        <v>18</v>
      </c>
      <c r="F158" t="s">
        <v>19</v>
      </c>
      <c r="G158">
        <v>2010</v>
      </c>
      <c r="H158">
        <v>15746</v>
      </c>
      <c r="I158">
        <v>502.4</v>
      </c>
      <c r="J158">
        <v>15243.6</v>
      </c>
      <c r="K158">
        <v>142.80000000000001</v>
      </c>
      <c r="L158" s="5">
        <v>9.068969897E-3</v>
      </c>
      <c r="M158">
        <v>15603.2</v>
      </c>
      <c r="N158" s="5">
        <v>0.99093103009999994</v>
      </c>
    </row>
    <row r="159" spans="1:14" x14ac:dyDescent="0.3">
      <c r="A159" t="s">
        <v>221</v>
      </c>
      <c r="B159" t="s">
        <v>21</v>
      </c>
      <c r="C159" t="s">
        <v>72</v>
      </c>
      <c r="D159" t="s">
        <v>73</v>
      </c>
      <c r="E159" t="s">
        <v>74</v>
      </c>
      <c r="F159" t="s">
        <v>19</v>
      </c>
      <c r="G159">
        <v>2002</v>
      </c>
      <c r="H159">
        <v>15723</v>
      </c>
      <c r="I159">
        <v>2035.3</v>
      </c>
      <c r="J159">
        <v>13703.9</v>
      </c>
      <c r="K159">
        <v>690.5</v>
      </c>
      <c r="L159" s="5">
        <v>4.3916555359999998E-2</v>
      </c>
      <c r="M159">
        <v>15032.5</v>
      </c>
      <c r="N159" s="5">
        <v>0.95608344459999994</v>
      </c>
    </row>
    <row r="160" spans="1:14" x14ac:dyDescent="0.3">
      <c r="A160" t="s">
        <v>222</v>
      </c>
      <c r="B160" t="s">
        <v>15</v>
      </c>
      <c r="C160" t="s">
        <v>223</v>
      </c>
      <c r="D160" t="s">
        <v>25</v>
      </c>
      <c r="E160" t="s">
        <v>18</v>
      </c>
      <c r="F160" t="s">
        <v>19</v>
      </c>
      <c r="G160">
        <v>2016</v>
      </c>
      <c r="H160">
        <v>15684.7</v>
      </c>
      <c r="I160">
        <v>7885.7</v>
      </c>
      <c r="J160">
        <v>7799</v>
      </c>
      <c r="K160">
        <v>3430.6</v>
      </c>
      <c r="L160" s="5">
        <v>0.21872270430000001</v>
      </c>
      <c r="M160">
        <v>12254.1</v>
      </c>
      <c r="N160" s="5">
        <v>0.78127729570000004</v>
      </c>
    </row>
    <row r="161" spans="1:14" x14ac:dyDescent="0.3">
      <c r="A161" t="s">
        <v>224</v>
      </c>
      <c r="B161" t="s">
        <v>15</v>
      </c>
      <c r="C161" t="s">
        <v>223</v>
      </c>
      <c r="D161" t="s">
        <v>25</v>
      </c>
      <c r="E161" t="s">
        <v>83</v>
      </c>
      <c r="F161" t="s">
        <v>19</v>
      </c>
      <c r="G161">
        <v>2017</v>
      </c>
      <c r="H161">
        <v>15638.8</v>
      </c>
      <c r="I161">
        <v>13216.1</v>
      </c>
      <c r="J161">
        <v>2427.1999999999998</v>
      </c>
      <c r="K161">
        <v>84.5</v>
      </c>
      <c r="L161" s="5">
        <v>5.4032278690000005E-3</v>
      </c>
      <c r="M161">
        <v>15554.3</v>
      </c>
      <c r="N161" s="5">
        <v>0.99459677209999997</v>
      </c>
    </row>
    <row r="162" spans="1:14" x14ac:dyDescent="0.3">
      <c r="A162" t="s">
        <v>225</v>
      </c>
      <c r="B162" t="s">
        <v>15</v>
      </c>
      <c r="C162" t="s">
        <v>22</v>
      </c>
      <c r="D162" t="s">
        <v>17</v>
      </c>
      <c r="E162" t="s">
        <v>18</v>
      </c>
      <c r="F162" t="s">
        <v>49</v>
      </c>
      <c r="G162">
        <v>2013</v>
      </c>
      <c r="H162">
        <v>15562.1</v>
      </c>
      <c r="I162">
        <v>13694</v>
      </c>
      <c r="J162">
        <v>1874.1</v>
      </c>
      <c r="K162">
        <v>4814.8999999999996</v>
      </c>
      <c r="L162" s="5">
        <v>0.30939911710000001</v>
      </c>
      <c r="M162">
        <v>10747.2</v>
      </c>
      <c r="N162" s="5">
        <v>0.69060088289999999</v>
      </c>
    </row>
    <row r="163" spans="1:14" x14ac:dyDescent="0.3">
      <c r="A163" t="s">
        <v>226</v>
      </c>
      <c r="B163" t="s">
        <v>15</v>
      </c>
      <c r="C163" t="s">
        <v>95</v>
      </c>
      <c r="D163" t="s">
        <v>17</v>
      </c>
      <c r="E163" t="s">
        <v>18</v>
      </c>
      <c r="F163" t="s">
        <v>19</v>
      </c>
      <c r="G163">
        <v>2018</v>
      </c>
      <c r="H163">
        <v>15561.7</v>
      </c>
      <c r="I163">
        <v>10487.9</v>
      </c>
      <c r="J163">
        <v>5077.6000000000004</v>
      </c>
      <c r="K163">
        <v>6776.1</v>
      </c>
      <c r="L163" s="5">
        <v>0.43543443199999998</v>
      </c>
      <c r="M163">
        <v>8785.6</v>
      </c>
      <c r="N163" s="5">
        <v>0.56456556800000002</v>
      </c>
    </row>
    <row r="164" spans="1:14" x14ac:dyDescent="0.3">
      <c r="A164" t="s">
        <v>227</v>
      </c>
      <c r="B164" t="s">
        <v>21</v>
      </c>
      <c r="C164" t="s">
        <v>167</v>
      </c>
      <c r="D164" t="s">
        <v>168</v>
      </c>
      <c r="E164" t="s">
        <v>169</v>
      </c>
      <c r="F164" t="s">
        <v>19</v>
      </c>
      <c r="G164">
        <v>2011</v>
      </c>
      <c r="H164">
        <v>15528.2</v>
      </c>
      <c r="I164">
        <v>7743.7</v>
      </c>
      <c r="J164">
        <v>7783.6</v>
      </c>
      <c r="K164">
        <v>7736.5</v>
      </c>
      <c r="L164" s="5">
        <v>0.49822258859999996</v>
      </c>
      <c r="M164">
        <v>7791.7</v>
      </c>
      <c r="N164" s="5">
        <v>0.50177741139999998</v>
      </c>
    </row>
    <row r="165" spans="1:14" x14ac:dyDescent="0.3">
      <c r="A165" t="s">
        <v>228</v>
      </c>
      <c r="B165" t="s">
        <v>21</v>
      </c>
      <c r="C165" t="s">
        <v>167</v>
      </c>
      <c r="D165" t="s">
        <v>168</v>
      </c>
      <c r="E165" t="s">
        <v>23</v>
      </c>
      <c r="F165" t="s">
        <v>19</v>
      </c>
      <c r="G165">
        <v>2012</v>
      </c>
      <c r="H165">
        <v>15525.6</v>
      </c>
      <c r="I165">
        <v>11131.7</v>
      </c>
      <c r="J165">
        <v>4374.8</v>
      </c>
      <c r="K165">
        <v>3212</v>
      </c>
      <c r="L165" s="5">
        <v>0.20688411400000001</v>
      </c>
      <c r="M165">
        <v>12313.6</v>
      </c>
      <c r="N165" s="5">
        <v>0.79311588599999994</v>
      </c>
    </row>
    <row r="166" spans="1:14" x14ac:dyDescent="0.3">
      <c r="A166" t="s">
        <v>229</v>
      </c>
      <c r="B166" t="s">
        <v>15</v>
      </c>
      <c r="C166" t="s">
        <v>22</v>
      </c>
      <c r="D166" t="s">
        <v>17</v>
      </c>
      <c r="E166" t="s">
        <v>52</v>
      </c>
      <c r="F166" t="s">
        <v>49</v>
      </c>
      <c r="G166">
        <v>1990</v>
      </c>
      <c r="H166">
        <v>15453.3</v>
      </c>
      <c r="I166">
        <v>15342.6</v>
      </c>
      <c r="J166">
        <v>118.3</v>
      </c>
      <c r="K166">
        <v>15333.7</v>
      </c>
      <c r="L166" s="5">
        <v>0.99226055279999992</v>
      </c>
      <c r="M166">
        <v>119.6</v>
      </c>
      <c r="N166" s="5">
        <v>7.7394472379999999E-3</v>
      </c>
    </row>
    <row r="167" spans="1:14" x14ac:dyDescent="0.3">
      <c r="A167" t="s">
        <v>230</v>
      </c>
      <c r="B167" t="s">
        <v>15</v>
      </c>
      <c r="C167" t="s">
        <v>22</v>
      </c>
      <c r="D167" t="s">
        <v>17</v>
      </c>
      <c r="E167" t="s">
        <v>18</v>
      </c>
      <c r="F167" t="s">
        <v>19</v>
      </c>
      <c r="G167">
        <v>2011</v>
      </c>
      <c r="H167">
        <v>15329.4</v>
      </c>
      <c r="I167">
        <v>6848.7</v>
      </c>
      <c r="J167">
        <v>8480.7000000000007</v>
      </c>
      <c r="K167">
        <v>2898.8</v>
      </c>
      <c r="L167" s="5">
        <v>0.18910068229999999</v>
      </c>
      <c r="M167">
        <v>12430.6</v>
      </c>
      <c r="N167" s="5">
        <v>0.81089931770000012</v>
      </c>
    </row>
    <row r="168" spans="1:14" x14ac:dyDescent="0.3">
      <c r="A168" t="s">
        <v>231</v>
      </c>
      <c r="B168" t="s">
        <v>15</v>
      </c>
      <c r="C168" t="s">
        <v>22</v>
      </c>
      <c r="D168" t="s">
        <v>17</v>
      </c>
      <c r="E168" t="s">
        <v>18</v>
      </c>
      <c r="F168" t="s">
        <v>19</v>
      </c>
      <c r="G168">
        <v>2017</v>
      </c>
      <c r="H168">
        <v>15252.2</v>
      </c>
      <c r="I168">
        <v>13192.5</v>
      </c>
      <c r="J168">
        <v>2067.1</v>
      </c>
      <c r="K168">
        <v>7139.4</v>
      </c>
      <c r="L168" s="5">
        <v>0.46808984930000003</v>
      </c>
      <c r="M168">
        <v>8112.8</v>
      </c>
      <c r="N168" s="5">
        <v>0.53191015070000003</v>
      </c>
    </row>
    <row r="169" spans="1:14" x14ac:dyDescent="0.3">
      <c r="A169" t="s">
        <v>232</v>
      </c>
      <c r="B169" t="s">
        <v>15</v>
      </c>
      <c r="C169" t="s">
        <v>72</v>
      </c>
      <c r="D169" t="s">
        <v>233</v>
      </c>
      <c r="E169" t="s">
        <v>74</v>
      </c>
      <c r="F169" t="s">
        <v>19</v>
      </c>
      <c r="G169">
        <v>1992</v>
      </c>
      <c r="H169">
        <v>15240.4</v>
      </c>
      <c r="I169">
        <v>10857.5</v>
      </c>
      <c r="J169">
        <v>4397.5</v>
      </c>
      <c r="K169">
        <v>594.9</v>
      </c>
      <c r="L169" s="5">
        <v>3.9034408549999997E-2</v>
      </c>
      <c r="M169">
        <v>14645.5</v>
      </c>
      <c r="N169" s="5">
        <v>0.96096559150000005</v>
      </c>
    </row>
    <row r="170" spans="1:14" x14ac:dyDescent="0.3">
      <c r="A170" t="s">
        <v>234</v>
      </c>
      <c r="B170" t="s">
        <v>15</v>
      </c>
      <c r="C170" t="s">
        <v>22</v>
      </c>
      <c r="D170" t="s">
        <v>17</v>
      </c>
      <c r="E170" t="s">
        <v>18</v>
      </c>
      <c r="F170" t="s">
        <v>19</v>
      </c>
      <c r="G170">
        <v>2006</v>
      </c>
      <c r="H170">
        <v>15133</v>
      </c>
      <c r="I170">
        <v>11606.5</v>
      </c>
      <c r="J170">
        <v>3518.6</v>
      </c>
      <c r="K170">
        <v>1928.5</v>
      </c>
      <c r="L170" s="5">
        <v>0.1274367277</v>
      </c>
      <c r="M170">
        <v>13204.5</v>
      </c>
      <c r="N170" s="5">
        <v>0.87256327229999997</v>
      </c>
    </row>
    <row r="171" spans="1:14" x14ac:dyDescent="0.3">
      <c r="A171" t="s">
        <v>235</v>
      </c>
      <c r="B171" t="s">
        <v>15</v>
      </c>
      <c r="C171" t="s">
        <v>22</v>
      </c>
      <c r="D171" t="s">
        <v>17</v>
      </c>
      <c r="E171" t="s">
        <v>18</v>
      </c>
      <c r="F171" t="s">
        <v>19</v>
      </c>
      <c r="G171">
        <v>2008</v>
      </c>
      <c r="H171">
        <v>15086.8</v>
      </c>
      <c r="I171">
        <v>10607.6</v>
      </c>
      <c r="J171">
        <v>4483.8999999999996</v>
      </c>
      <c r="K171">
        <v>5835.1</v>
      </c>
      <c r="L171" s="5">
        <v>0.38676856589999997</v>
      </c>
      <c r="M171">
        <v>9251.7000000000007</v>
      </c>
      <c r="N171" s="5">
        <v>0.61323143410000003</v>
      </c>
    </row>
    <row r="172" spans="1:14" x14ac:dyDescent="0.3">
      <c r="A172" t="s">
        <v>236</v>
      </c>
      <c r="B172" t="s">
        <v>15</v>
      </c>
      <c r="C172" t="s">
        <v>22</v>
      </c>
      <c r="D172" t="s">
        <v>25</v>
      </c>
      <c r="E172" t="s">
        <v>26</v>
      </c>
      <c r="F172" t="s">
        <v>19</v>
      </c>
      <c r="G172">
        <v>2010</v>
      </c>
      <c r="H172">
        <v>15041.1</v>
      </c>
      <c r="I172">
        <v>4978.8999999999996</v>
      </c>
      <c r="J172">
        <v>10062.1</v>
      </c>
      <c r="K172">
        <v>2069.9</v>
      </c>
      <c r="L172" s="5">
        <v>0.1376162648</v>
      </c>
      <c r="M172">
        <v>12971.2</v>
      </c>
      <c r="N172" s="5">
        <v>0.8623837352</v>
      </c>
    </row>
    <row r="173" spans="1:14" x14ac:dyDescent="0.3">
      <c r="A173" t="s">
        <v>237</v>
      </c>
      <c r="B173" t="s">
        <v>15</v>
      </c>
      <c r="C173" t="s">
        <v>184</v>
      </c>
      <c r="D173" t="s">
        <v>17</v>
      </c>
      <c r="E173" t="s">
        <v>185</v>
      </c>
      <c r="F173" t="s">
        <v>49</v>
      </c>
      <c r="G173">
        <v>1962</v>
      </c>
      <c r="H173">
        <v>14992.7</v>
      </c>
      <c r="I173">
        <v>14837.1</v>
      </c>
      <c r="J173">
        <v>161.6</v>
      </c>
      <c r="K173">
        <v>13836</v>
      </c>
      <c r="L173" s="5">
        <v>0.92284911989999996</v>
      </c>
      <c r="M173">
        <v>1156.7</v>
      </c>
      <c r="N173" s="5">
        <v>7.7150880089999999E-2</v>
      </c>
    </row>
    <row r="174" spans="1:14" x14ac:dyDescent="0.3">
      <c r="A174" t="s">
        <v>238</v>
      </c>
      <c r="B174" t="s">
        <v>15</v>
      </c>
      <c r="C174" t="s">
        <v>46</v>
      </c>
      <c r="D174" t="s">
        <v>47</v>
      </c>
      <c r="E174" t="s">
        <v>48</v>
      </c>
      <c r="F174" t="s">
        <v>49</v>
      </c>
      <c r="G174">
        <v>2018</v>
      </c>
      <c r="H174">
        <v>14947.4</v>
      </c>
      <c r="I174">
        <v>14819</v>
      </c>
      <c r="J174">
        <v>136.5</v>
      </c>
      <c r="K174">
        <v>13482.3</v>
      </c>
      <c r="L174" s="5">
        <v>0.90198295360000003</v>
      </c>
      <c r="M174">
        <v>1465.1</v>
      </c>
      <c r="N174" s="5">
        <v>9.8017046440000005E-2</v>
      </c>
    </row>
    <row r="175" spans="1:14" x14ac:dyDescent="0.3">
      <c r="A175" t="s">
        <v>239</v>
      </c>
      <c r="B175" t="s">
        <v>15</v>
      </c>
      <c r="C175" t="s">
        <v>72</v>
      </c>
      <c r="D175" t="s">
        <v>233</v>
      </c>
      <c r="E175" t="s">
        <v>74</v>
      </c>
      <c r="F175" t="s">
        <v>19</v>
      </c>
      <c r="G175">
        <v>2012</v>
      </c>
      <c r="H175">
        <v>14897.8</v>
      </c>
      <c r="I175">
        <v>12456.5</v>
      </c>
      <c r="J175">
        <v>2450</v>
      </c>
      <c r="K175">
        <v>1543.3</v>
      </c>
      <c r="L175" s="5">
        <v>0.10359247670000001</v>
      </c>
      <c r="M175">
        <v>13354.5</v>
      </c>
      <c r="N175" s="5">
        <v>0.89640752329999995</v>
      </c>
    </row>
    <row r="176" spans="1:14" x14ac:dyDescent="0.3">
      <c r="A176" t="s">
        <v>240</v>
      </c>
      <c r="B176" t="s">
        <v>15</v>
      </c>
      <c r="C176" t="s">
        <v>22</v>
      </c>
      <c r="D176" t="s">
        <v>17</v>
      </c>
      <c r="E176" t="s">
        <v>28</v>
      </c>
      <c r="F176" t="s">
        <v>19</v>
      </c>
      <c r="G176">
        <v>2006</v>
      </c>
      <c r="H176">
        <v>14888.6</v>
      </c>
      <c r="I176">
        <v>8808.5</v>
      </c>
      <c r="J176">
        <v>6090.2</v>
      </c>
      <c r="K176">
        <v>8012</v>
      </c>
      <c r="L176" s="5">
        <v>0.53812984429999999</v>
      </c>
      <c r="M176">
        <v>6876.6</v>
      </c>
      <c r="N176" s="5">
        <v>0.46187015570000001</v>
      </c>
    </row>
    <row r="177" spans="1:14" x14ac:dyDescent="0.3">
      <c r="A177" t="s">
        <v>241</v>
      </c>
      <c r="B177" t="s">
        <v>15</v>
      </c>
      <c r="C177" t="s">
        <v>22</v>
      </c>
      <c r="D177" t="s">
        <v>17</v>
      </c>
      <c r="E177" t="s">
        <v>18</v>
      </c>
      <c r="F177" t="s">
        <v>19</v>
      </c>
      <c r="G177">
        <v>2005</v>
      </c>
      <c r="H177">
        <v>14880.2</v>
      </c>
      <c r="I177">
        <v>7106.1</v>
      </c>
      <c r="J177">
        <v>7779.1</v>
      </c>
      <c r="K177">
        <v>1618.8</v>
      </c>
      <c r="L177" s="5">
        <v>0.10878886039999999</v>
      </c>
      <c r="M177">
        <v>13261.4</v>
      </c>
      <c r="N177" s="5">
        <v>0.89121113959999998</v>
      </c>
    </row>
    <row r="178" spans="1:14" x14ac:dyDescent="0.3">
      <c r="A178" t="s">
        <v>242</v>
      </c>
      <c r="B178" t="s">
        <v>21</v>
      </c>
      <c r="C178" t="s">
        <v>243</v>
      </c>
      <c r="D178" t="s">
        <v>25</v>
      </c>
      <c r="E178" t="s">
        <v>23</v>
      </c>
      <c r="F178" t="s">
        <v>19</v>
      </c>
      <c r="G178">
        <v>2016</v>
      </c>
      <c r="H178">
        <v>14558.4</v>
      </c>
      <c r="I178">
        <v>10084</v>
      </c>
      <c r="J178">
        <v>4479.1000000000004</v>
      </c>
      <c r="K178">
        <v>5316.8</v>
      </c>
      <c r="L178" s="5">
        <v>0.36520496759999999</v>
      </c>
      <c r="M178">
        <v>9241.6</v>
      </c>
      <c r="N178" s="5">
        <v>0.63479503240000001</v>
      </c>
    </row>
    <row r="179" spans="1:14" x14ac:dyDescent="0.3">
      <c r="A179" t="s">
        <v>244</v>
      </c>
      <c r="B179" t="s">
        <v>21</v>
      </c>
      <c r="C179" t="s">
        <v>34</v>
      </c>
      <c r="D179" t="s">
        <v>17</v>
      </c>
      <c r="E179" t="s">
        <v>23</v>
      </c>
      <c r="F179" t="s">
        <v>19</v>
      </c>
      <c r="G179">
        <v>2008</v>
      </c>
      <c r="H179">
        <v>14544.4</v>
      </c>
      <c r="I179">
        <v>10175.299999999999</v>
      </c>
      <c r="J179">
        <v>4376</v>
      </c>
      <c r="K179">
        <v>6747.8</v>
      </c>
      <c r="L179" s="5">
        <v>0.463944886</v>
      </c>
      <c r="M179">
        <v>7796.6</v>
      </c>
      <c r="N179" s="5">
        <v>0.53605511399999994</v>
      </c>
    </row>
    <row r="180" spans="1:14" x14ac:dyDescent="0.3">
      <c r="A180" t="s">
        <v>245</v>
      </c>
      <c r="B180" t="s">
        <v>15</v>
      </c>
      <c r="C180" t="s">
        <v>246</v>
      </c>
      <c r="D180" t="s">
        <v>17</v>
      </c>
      <c r="E180" t="s">
        <v>28</v>
      </c>
      <c r="F180" t="s">
        <v>19</v>
      </c>
      <c r="G180">
        <v>2017</v>
      </c>
      <c r="H180">
        <v>14512.1</v>
      </c>
      <c r="I180">
        <v>13579.3</v>
      </c>
      <c r="J180">
        <v>938.4</v>
      </c>
      <c r="K180">
        <v>12111.7</v>
      </c>
      <c r="L180" s="5">
        <v>0.83459320149999994</v>
      </c>
      <c r="M180">
        <v>2400.4</v>
      </c>
      <c r="N180" s="5">
        <v>0.16540679850000001</v>
      </c>
    </row>
    <row r="181" spans="1:14" x14ac:dyDescent="0.3">
      <c r="A181" t="s">
        <v>247</v>
      </c>
      <c r="B181" t="s">
        <v>15</v>
      </c>
      <c r="C181" t="s">
        <v>22</v>
      </c>
      <c r="D181" t="s">
        <v>17</v>
      </c>
      <c r="E181" t="s">
        <v>52</v>
      </c>
      <c r="F181" t="s">
        <v>49</v>
      </c>
      <c r="G181">
        <v>2003</v>
      </c>
      <c r="H181">
        <v>14507.7</v>
      </c>
      <c r="I181">
        <v>10717.2</v>
      </c>
      <c r="J181">
        <v>3796.5</v>
      </c>
      <c r="K181">
        <v>12380.2</v>
      </c>
      <c r="L181" s="5">
        <v>0.85335373630000011</v>
      </c>
      <c r="M181">
        <v>2127.5</v>
      </c>
      <c r="N181" s="5">
        <v>0.1466462637</v>
      </c>
    </row>
    <row r="182" spans="1:14" x14ac:dyDescent="0.3">
      <c r="A182" t="s">
        <v>248</v>
      </c>
      <c r="B182" t="s">
        <v>15</v>
      </c>
      <c r="C182" t="s">
        <v>16</v>
      </c>
      <c r="D182" t="s">
        <v>17</v>
      </c>
      <c r="E182" t="s">
        <v>28</v>
      </c>
      <c r="F182" t="s">
        <v>19</v>
      </c>
      <c r="G182">
        <v>2013</v>
      </c>
      <c r="H182">
        <v>14506.3</v>
      </c>
      <c r="I182">
        <v>13237.2</v>
      </c>
      <c r="J182">
        <v>1275</v>
      </c>
      <c r="K182">
        <v>7177.2</v>
      </c>
      <c r="L182" s="5">
        <v>0.49476434380000001</v>
      </c>
      <c r="M182">
        <v>7329.1</v>
      </c>
      <c r="N182" s="5">
        <v>0.50523565619999999</v>
      </c>
    </row>
    <row r="183" spans="1:14" x14ac:dyDescent="0.3">
      <c r="A183" t="s">
        <v>249</v>
      </c>
      <c r="B183" t="s">
        <v>15</v>
      </c>
      <c r="C183" t="s">
        <v>167</v>
      </c>
      <c r="D183" t="s">
        <v>168</v>
      </c>
      <c r="E183" t="s">
        <v>169</v>
      </c>
      <c r="F183" t="s">
        <v>49</v>
      </c>
      <c r="G183">
        <v>2007</v>
      </c>
      <c r="H183">
        <v>14404.4</v>
      </c>
      <c r="I183">
        <v>11024</v>
      </c>
      <c r="J183">
        <v>3391.4</v>
      </c>
      <c r="K183">
        <v>10484.4</v>
      </c>
      <c r="L183" s="5">
        <v>0.72786093140000008</v>
      </c>
      <c r="M183">
        <v>3920</v>
      </c>
      <c r="N183" s="5">
        <v>0.27213906860000003</v>
      </c>
    </row>
    <row r="184" spans="1:14" x14ac:dyDescent="0.3">
      <c r="A184" t="s">
        <v>250</v>
      </c>
      <c r="B184" t="s">
        <v>15</v>
      </c>
      <c r="C184" t="s">
        <v>22</v>
      </c>
      <c r="D184" t="s">
        <v>17</v>
      </c>
      <c r="E184" t="s">
        <v>18</v>
      </c>
      <c r="F184" t="s">
        <v>19</v>
      </c>
      <c r="G184">
        <v>2015</v>
      </c>
      <c r="H184">
        <v>14402.6</v>
      </c>
      <c r="I184">
        <v>13416.1</v>
      </c>
      <c r="J184">
        <v>990</v>
      </c>
      <c r="K184">
        <v>791.1</v>
      </c>
      <c r="L184" s="5">
        <v>5.4927582519999997E-2</v>
      </c>
      <c r="M184">
        <v>13611.5</v>
      </c>
      <c r="N184" s="5">
        <v>0.94507241750000004</v>
      </c>
    </row>
    <row r="185" spans="1:14" x14ac:dyDescent="0.3">
      <c r="A185" t="s">
        <v>251</v>
      </c>
      <c r="B185" t="s">
        <v>15</v>
      </c>
      <c r="C185" t="s">
        <v>22</v>
      </c>
      <c r="D185" t="s">
        <v>17</v>
      </c>
      <c r="E185" t="s">
        <v>52</v>
      </c>
      <c r="F185" t="s">
        <v>49</v>
      </c>
      <c r="G185">
        <v>2005</v>
      </c>
      <c r="H185">
        <v>14402.3</v>
      </c>
      <c r="I185">
        <v>4417.2</v>
      </c>
      <c r="J185">
        <v>9988.5</v>
      </c>
      <c r="K185">
        <v>13038</v>
      </c>
      <c r="L185" s="5">
        <v>0.90527207460000003</v>
      </c>
      <c r="M185">
        <v>1364.3</v>
      </c>
      <c r="N185" s="5">
        <v>9.472792540000001E-2</v>
      </c>
    </row>
    <row r="186" spans="1:14" x14ac:dyDescent="0.3">
      <c r="A186" t="s">
        <v>252</v>
      </c>
      <c r="B186" t="s">
        <v>15</v>
      </c>
      <c r="C186" t="s">
        <v>95</v>
      </c>
      <c r="D186" t="s">
        <v>17</v>
      </c>
      <c r="E186" t="s">
        <v>52</v>
      </c>
      <c r="F186" t="s">
        <v>19</v>
      </c>
      <c r="G186">
        <v>2008</v>
      </c>
      <c r="H186">
        <v>14387.1</v>
      </c>
      <c r="I186">
        <v>13232.8</v>
      </c>
      <c r="J186">
        <v>1165.4000000000001</v>
      </c>
      <c r="K186">
        <v>12678.8</v>
      </c>
      <c r="L186" s="5">
        <v>0.88126168579999997</v>
      </c>
      <c r="M186">
        <v>1708.3</v>
      </c>
      <c r="N186" s="5">
        <v>0.1187383142</v>
      </c>
    </row>
    <row r="187" spans="1:14" x14ac:dyDescent="0.3">
      <c r="A187" t="s">
        <v>253</v>
      </c>
      <c r="B187" t="s">
        <v>15</v>
      </c>
      <c r="C187" t="s">
        <v>243</v>
      </c>
      <c r="D187" t="s">
        <v>25</v>
      </c>
      <c r="E187" t="s">
        <v>26</v>
      </c>
      <c r="F187" t="s">
        <v>19</v>
      </c>
      <c r="G187">
        <v>2020</v>
      </c>
      <c r="H187">
        <v>14345.2</v>
      </c>
      <c r="I187">
        <v>7659.9</v>
      </c>
      <c r="J187">
        <v>6698.1</v>
      </c>
      <c r="K187">
        <v>4914.8999999999996</v>
      </c>
      <c r="L187" s="5">
        <v>0.34261634549999997</v>
      </c>
      <c r="M187">
        <v>9430.2999999999993</v>
      </c>
      <c r="N187" s="5">
        <v>0.65738365450000003</v>
      </c>
    </row>
    <row r="188" spans="1:14" x14ac:dyDescent="0.3">
      <c r="A188" t="s">
        <v>254</v>
      </c>
      <c r="B188" t="s">
        <v>15</v>
      </c>
      <c r="C188" t="s">
        <v>43</v>
      </c>
      <c r="D188" t="s">
        <v>25</v>
      </c>
      <c r="E188" t="s">
        <v>83</v>
      </c>
      <c r="F188" t="s">
        <v>49</v>
      </c>
      <c r="G188">
        <v>2015</v>
      </c>
      <c r="H188">
        <v>14293.7</v>
      </c>
      <c r="I188">
        <v>11695.5</v>
      </c>
      <c r="J188">
        <v>2609</v>
      </c>
      <c r="K188">
        <v>8588.9</v>
      </c>
      <c r="L188" s="5">
        <v>0.60088710410000001</v>
      </c>
      <c r="M188">
        <v>5704.8</v>
      </c>
      <c r="N188" s="5">
        <v>0.39911289590000004</v>
      </c>
    </row>
    <row r="189" spans="1:14" x14ac:dyDescent="0.3">
      <c r="A189" t="s">
        <v>255</v>
      </c>
      <c r="B189" t="s">
        <v>21</v>
      </c>
      <c r="C189" t="s">
        <v>148</v>
      </c>
      <c r="D189" t="s">
        <v>17</v>
      </c>
      <c r="E189" t="s">
        <v>23</v>
      </c>
      <c r="F189" t="s">
        <v>19</v>
      </c>
      <c r="G189">
        <v>2008</v>
      </c>
      <c r="H189">
        <v>14221.3</v>
      </c>
      <c r="I189">
        <v>9372.1</v>
      </c>
      <c r="J189">
        <v>4858.7</v>
      </c>
      <c r="K189">
        <v>7138.3</v>
      </c>
      <c r="L189" s="5">
        <v>0.50194426670000003</v>
      </c>
      <c r="M189">
        <v>7083</v>
      </c>
      <c r="N189" s="5">
        <v>0.49805573330000003</v>
      </c>
    </row>
    <row r="190" spans="1:14" x14ac:dyDescent="0.3">
      <c r="A190" t="s">
        <v>256</v>
      </c>
      <c r="B190" t="s">
        <v>15</v>
      </c>
      <c r="C190" t="s">
        <v>90</v>
      </c>
      <c r="D190" t="s">
        <v>25</v>
      </c>
      <c r="E190" t="s">
        <v>91</v>
      </c>
      <c r="F190" t="s">
        <v>19</v>
      </c>
      <c r="G190">
        <v>2023</v>
      </c>
      <c r="H190">
        <v>14166.6</v>
      </c>
      <c r="I190">
        <v>7969.4</v>
      </c>
      <c r="J190">
        <v>6215.6</v>
      </c>
      <c r="K190">
        <v>3646.4</v>
      </c>
      <c r="L190" s="5">
        <v>0.25739415240000002</v>
      </c>
      <c r="M190">
        <v>10520.2</v>
      </c>
      <c r="N190" s="5">
        <v>0.74260584760000004</v>
      </c>
    </row>
    <row r="191" spans="1:14" x14ac:dyDescent="0.3">
      <c r="A191" t="s">
        <v>257</v>
      </c>
      <c r="B191" t="s">
        <v>15</v>
      </c>
      <c r="C191" t="s">
        <v>60</v>
      </c>
      <c r="D191" t="s">
        <v>258</v>
      </c>
      <c r="E191" t="s">
        <v>18</v>
      </c>
      <c r="F191" t="s">
        <v>19</v>
      </c>
      <c r="G191">
        <v>2013</v>
      </c>
      <c r="H191">
        <v>14127.8</v>
      </c>
      <c r="I191">
        <v>11142.3</v>
      </c>
      <c r="J191">
        <v>2993.2</v>
      </c>
      <c r="K191">
        <v>8903.2000000000007</v>
      </c>
      <c r="L191" s="5">
        <v>0.63019012159999999</v>
      </c>
      <c r="M191">
        <v>5224.6000000000004</v>
      </c>
      <c r="N191" s="5">
        <v>0.36980987839999996</v>
      </c>
    </row>
    <row r="192" spans="1:14" x14ac:dyDescent="0.3">
      <c r="A192" t="s">
        <v>259</v>
      </c>
      <c r="B192" t="s">
        <v>15</v>
      </c>
      <c r="C192" t="s">
        <v>22</v>
      </c>
      <c r="D192" t="s">
        <v>17</v>
      </c>
      <c r="E192" t="s">
        <v>18</v>
      </c>
      <c r="F192" t="s">
        <v>19</v>
      </c>
      <c r="G192">
        <v>1991</v>
      </c>
      <c r="H192">
        <v>14116.7</v>
      </c>
      <c r="I192">
        <v>13659.9</v>
      </c>
      <c r="J192">
        <v>462.4</v>
      </c>
      <c r="K192">
        <v>5423.2</v>
      </c>
      <c r="L192" s="5">
        <v>0.38416910469999999</v>
      </c>
      <c r="M192">
        <v>8693.5</v>
      </c>
      <c r="N192" s="5">
        <v>0.61583089530000001</v>
      </c>
    </row>
    <row r="193" spans="1:14" x14ac:dyDescent="0.3">
      <c r="A193" t="s">
        <v>260</v>
      </c>
      <c r="B193" t="s">
        <v>15</v>
      </c>
      <c r="C193" t="s">
        <v>34</v>
      </c>
      <c r="D193" t="s">
        <v>17</v>
      </c>
      <c r="E193" t="s">
        <v>58</v>
      </c>
      <c r="F193" t="s">
        <v>49</v>
      </c>
      <c r="G193">
        <v>2001</v>
      </c>
      <c r="H193">
        <v>14104.4</v>
      </c>
      <c r="I193">
        <v>14087.5</v>
      </c>
      <c r="J193">
        <v>23.4</v>
      </c>
      <c r="K193">
        <v>3963.9</v>
      </c>
      <c r="L193" s="5">
        <v>0.28103995919999997</v>
      </c>
      <c r="M193">
        <v>10140.5</v>
      </c>
      <c r="N193" s="5">
        <v>0.71896004079999998</v>
      </c>
    </row>
    <row r="194" spans="1:14" x14ac:dyDescent="0.3">
      <c r="A194" t="s">
        <v>261</v>
      </c>
      <c r="B194" t="s">
        <v>15</v>
      </c>
      <c r="C194" t="s">
        <v>86</v>
      </c>
      <c r="D194" t="s">
        <v>17</v>
      </c>
      <c r="E194" t="s">
        <v>23</v>
      </c>
      <c r="F194" t="s">
        <v>19</v>
      </c>
      <c r="G194">
        <v>2017</v>
      </c>
      <c r="H194">
        <v>14087.8</v>
      </c>
      <c r="I194">
        <v>14091.2</v>
      </c>
      <c r="J194">
        <v>0</v>
      </c>
      <c r="K194">
        <v>13608.5</v>
      </c>
      <c r="L194" s="5">
        <v>0.96597765440000005</v>
      </c>
      <c r="M194">
        <v>479.3</v>
      </c>
      <c r="N194" s="5">
        <v>3.4022345580000002E-2</v>
      </c>
    </row>
    <row r="195" spans="1:14" x14ac:dyDescent="0.3">
      <c r="A195" t="s">
        <v>262</v>
      </c>
      <c r="B195" t="s">
        <v>15</v>
      </c>
      <c r="C195" t="s">
        <v>22</v>
      </c>
      <c r="D195" t="s">
        <v>25</v>
      </c>
      <c r="E195" t="s">
        <v>91</v>
      </c>
      <c r="F195" t="s">
        <v>49</v>
      </c>
      <c r="G195">
        <v>2022</v>
      </c>
      <c r="H195">
        <v>13999.3</v>
      </c>
      <c r="I195">
        <v>8094.6</v>
      </c>
      <c r="J195">
        <v>5914.6</v>
      </c>
      <c r="K195">
        <v>2001.5</v>
      </c>
      <c r="L195" s="5">
        <v>0.14297143430000001</v>
      </c>
      <c r="M195">
        <v>11997.8</v>
      </c>
      <c r="N195" s="5">
        <v>0.85702856569999997</v>
      </c>
    </row>
    <row r="196" spans="1:14" x14ac:dyDescent="0.3">
      <c r="A196" t="s">
        <v>263</v>
      </c>
      <c r="B196" t="s">
        <v>15</v>
      </c>
      <c r="C196" t="s">
        <v>43</v>
      </c>
      <c r="D196" t="s">
        <v>25</v>
      </c>
      <c r="E196" t="s">
        <v>23</v>
      </c>
      <c r="F196" t="s">
        <v>19</v>
      </c>
      <c r="G196">
        <v>2007</v>
      </c>
      <c r="H196">
        <v>13994.1</v>
      </c>
      <c r="I196">
        <v>8290.1</v>
      </c>
      <c r="J196">
        <v>5703.9</v>
      </c>
      <c r="K196">
        <v>3475.3</v>
      </c>
      <c r="L196" s="5">
        <v>0.248340372</v>
      </c>
      <c r="M196">
        <v>10518.8</v>
      </c>
      <c r="N196" s="5">
        <v>0.75165962800000008</v>
      </c>
    </row>
    <row r="197" spans="1:14" x14ac:dyDescent="0.3">
      <c r="A197" t="s">
        <v>264</v>
      </c>
      <c r="B197" t="s">
        <v>15</v>
      </c>
      <c r="C197" t="s">
        <v>22</v>
      </c>
      <c r="D197" t="s">
        <v>25</v>
      </c>
      <c r="E197" t="s">
        <v>26</v>
      </c>
      <c r="F197" t="s">
        <v>19</v>
      </c>
      <c r="G197">
        <v>2009</v>
      </c>
      <c r="H197">
        <v>13994</v>
      </c>
      <c r="I197">
        <v>944.9</v>
      </c>
      <c r="J197">
        <v>13049.1</v>
      </c>
      <c r="K197">
        <v>136</v>
      </c>
      <c r="L197" s="5">
        <v>9.7184507649999991E-3</v>
      </c>
      <c r="M197">
        <v>13858</v>
      </c>
      <c r="N197" s="5">
        <v>0.99028154920000011</v>
      </c>
    </row>
    <row r="198" spans="1:14" x14ac:dyDescent="0.3">
      <c r="A198" t="s">
        <v>265</v>
      </c>
      <c r="B198" t="s">
        <v>15</v>
      </c>
      <c r="C198" t="s">
        <v>22</v>
      </c>
      <c r="D198" t="s">
        <v>17</v>
      </c>
      <c r="E198" t="s">
        <v>18</v>
      </c>
      <c r="F198" t="s">
        <v>19</v>
      </c>
      <c r="G198">
        <v>2007</v>
      </c>
      <c r="H198">
        <v>13978.6</v>
      </c>
      <c r="I198">
        <v>4090.4</v>
      </c>
      <c r="J198">
        <v>9888.1</v>
      </c>
      <c r="K198">
        <v>895.7</v>
      </c>
      <c r="L198" s="5">
        <v>6.4076516959999996E-2</v>
      </c>
      <c r="M198">
        <v>13082.9</v>
      </c>
      <c r="N198" s="5">
        <v>0.93592348299999994</v>
      </c>
    </row>
    <row r="199" spans="1:14" x14ac:dyDescent="0.3">
      <c r="A199" t="s">
        <v>266</v>
      </c>
      <c r="B199" t="s">
        <v>15</v>
      </c>
      <c r="C199" t="s">
        <v>22</v>
      </c>
      <c r="D199" t="s">
        <v>17</v>
      </c>
      <c r="E199" t="s">
        <v>18</v>
      </c>
      <c r="F199" t="s">
        <v>19</v>
      </c>
      <c r="G199">
        <v>2010</v>
      </c>
      <c r="H199">
        <v>13891.9</v>
      </c>
      <c r="I199">
        <v>9309.2000000000007</v>
      </c>
      <c r="J199">
        <v>4586.6000000000004</v>
      </c>
      <c r="K199">
        <v>12293.1</v>
      </c>
      <c r="L199" s="5">
        <v>0.88491135119999997</v>
      </c>
      <c r="M199">
        <v>1598.8</v>
      </c>
      <c r="N199" s="5">
        <v>0.11508864880000001</v>
      </c>
    </row>
    <row r="200" spans="1:14" x14ac:dyDescent="0.3">
      <c r="A200" t="s">
        <v>267</v>
      </c>
      <c r="B200" t="s">
        <v>15</v>
      </c>
      <c r="C200" t="s">
        <v>22</v>
      </c>
      <c r="D200" t="s">
        <v>17</v>
      </c>
      <c r="E200" t="s">
        <v>28</v>
      </c>
      <c r="F200" t="s">
        <v>19</v>
      </c>
      <c r="G200">
        <v>2011</v>
      </c>
      <c r="H200">
        <v>13890.6</v>
      </c>
      <c r="I200">
        <v>13739.5</v>
      </c>
      <c r="J200">
        <v>155.6</v>
      </c>
      <c r="K200">
        <v>8915.5</v>
      </c>
      <c r="L200" s="5">
        <v>0.64183692570000006</v>
      </c>
      <c r="M200">
        <v>4975.1000000000004</v>
      </c>
      <c r="N200" s="5">
        <v>0.3581630743</v>
      </c>
    </row>
    <row r="201" spans="1:14" x14ac:dyDescent="0.3">
      <c r="A201" t="s">
        <v>268</v>
      </c>
      <c r="B201" t="s">
        <v>15</v>
      </c>
      <c r="C201" t="s">
        <v>243</v>
      </c>
      <c r="D201" t="s">
        <v>25</v>
      </c>
      <c r="E201" t="s">
        <v>18</v>
      </c>
      <c r="F201" t="s">
        <v>19</v>
      </c>
      <c r="G201">
        <v>2014</v>
      </c>
      <c r="H201">
        <v>13734.1</v>
      </c>
      <c r="I201">
        <v>11278.9</v>
      </c>
      <c r="J201">
        <v>2462</v>
      </c>
      <c r="K201">
        <v>8953.7000000000007</v>
      </c>
      <c r="L201" s="5">
        <v>0.65193205230000006</v>
      </c>
      <c r="M201">
        <v>4780.3999999999996</v>
      </c>
      <c r="N201" s="5">
        <v>0.34806794770000005</v>
      </c>
    </row>
    <row r="202" spans="1:14" x14ac:dyDescent="0.3">
      <c r="A202" t="s">
        <v>269</v>
      </c>
      <c r="B202" t="s">
        <v>15</v>
      </c>
      <c r="C202" t="s">
        <v>22</v>
      </c>
      <c r="D202" t="s">
        <v>17</v>
      </c>
      <c r="E202" t="s">
        <v>18</v>
      </c>
      <c r="F202" t="s">
        <v>19</v>
      </c>
      <c r="G202">
        <v>2017</v>
      </c>
      <c r="H202">
        <v>13692</v>
      </c>
      <c r="I202">
        <v>6665</v>
      </c>
      <c r="J202">
        <v>7030</v>
      </c>
      <c r="K202">
        <v>4971.3</v>
      </c>
      <c r="L202" s="5">
        <v>0.36308063099999999</v>
      </c>
      <c r="M202">
        <v>8720.7000000000007</v>
      </c>
      <c r="N202" s="5">
        <v>0.63691936900000001</v>
      </c>
    </row>
    <row r="203" spans="1:14" x14ac:dyDescent="0.3">
      <c r="A203" t="s">
        <v>270</v>
      </c>
      <c r="B203" t="s">
        <v>15</v>
      </c>
      <c r="C203" t="s">
        <v>22</v>
      </c>
      <c r="D203" t="s">
        <v>17</v>
      </c>
      <c r="E203" t="s">
        <v>52</v>
      </c>
      <c r="F203" t="s">
        <v>49</v>
      </c>
      <c r="G203">
        <v>1985</v>
      </c>
      <c r="H203">
        <v>13683</v>
      </c>
      <c r="I203">
        <v>13689.3</v>
      </c>
      <c r="J203">
        <v>0</v>
      </c>
      <c r="K203">
        <v>13682.2</v>
      </c>
      <c r="L203" s="5">
        <v>0.99994153330000002</v>
      </c>
      <c r="M203">
        <v>0.8</v>
      </c>
      <c r="N203" s="5">
        <v>5.8466710519999999E-5</v>
      </c>
    </row>
    <row r="204" spans="1:14" x14ac:dyDescent="0.3">
      <c r="A204" t="s">
        <v>271</v>
      </c>
      <c r="B204" t="s">
        <v>21</v>
      </c>
      <c r="C204" t="s">
        <v>22</v>
      </c>
      <c r="D204" t="s">
        <v>17</v>
      </c>
      <c r="E204" t="s">
        <v>23</v>
      </c>
      <c r="F204" t="s">
        <v>19</v>
      </c>
      <c r="G204">
        <v>1990</v>
      </c>
      <c r="H204">
        <v>13650.2</v>
      </c>
      <c r="I204">
        <v>12396.8</v>
      </c>
      <c r="J204">
        <v>1258.3</v>
      </c>
      <c r="K204">
        <v>10348.700000000001</v>
      </c>
      <c r="L204" s="5">
        <v>0.7581354119</v>
      </c>
      <c r="M204">
        <v>3301.5</v>
      </c>
      <c r="N204" s="5">
        <v>0.2418645881</v>
      </c>
    </row>
    <row r="205" spans="1:14" x14ac:dyDescent="0.3">
      <c r="A205" t="s">
        <v>272</v>
      </c>
      <c r="B205" t="s">
        <v>15</v>
      </c>
      <c r="C205" t="s">
        <v>22</v>
      </c>
      <c r="D205" t="s">
        <v>17</v>
      </c>
      <c r="E205" t="s">
        <v>273</v>
      </c>
      <c r="F205" t="s">
        <v>19</v>
      </c>
      <c r="G205">
        <v>2017</v>
      </c>
      <c r="H205">
        <v>13543.1</v>
      </c>
      <c r="I205">
        <v>12815.1</v>
      </c>
      <c r="J205">
        <v>728</v>
      </c>
      <c r="K205">
        <v>10726.1</v>
      </c>
      <c r="L205" s="5">
        <v>0.79199740090000004</v>
      </c>
      <c r="M205">
        <v>2817</v>
      </c>
      <c r="N205" s="5">
        <v>0.20800259910000002</v>
      </c>
    </row>
    <row r="206" spans="1:14" x14ac:dyDescent="0.3">
      <c r="A206" t="s">
        <v>274</v>
      </c>
      <c r="B206" t="s">
        <v>21</v>
      </c>
      <c r="C206" t="s">
        <v>22</v>
      </c>
      <c r="D206" t="s">
        <v>17</v>
      </c>
      <c r="E206" t="s">
        <v>18</v>
      </c>
      <c r="F206" t="s">
        <v>19</v>
      </c>
      <c r="G206">
        <v>2016</v>
      </c>
      <c r="H206">
        <v>13532</v>
      </c>
      <c r="I206">
        <v>7853.3</v>
      </c>
      <c r="J206">
        <v>5683.7</v>
      </c>
      <c r="K206">
        <v>4660.7</v>
      </c>
      <c r="L206" s="5">
        <v>0.3444206326</v>
      </c>
      <c r="M206">
        <v>8871.2999999999993</v>
      </c>
      <c r="N206" s="5">
        <v>0.6555793674</v>
      </c>
    </row>
    <row r="207" spans="1:14" x14ac:dyDescent="0.3">
      <c r="A207" t="s">
        <v>275</v>
      </c>
      <c r="B207" t="s">
        <v>15</v>
      </c>
      <c r="C207" t="s">
        <v>90</v>
      </c>
      <c r="D207" t="s">
        <v>25</v>
      </c>
      <c r="E207" t="s">
        <v>91</v>
      </c>
      <c r="F207" t="s">
        <v>19</v>
      </c>
      <c r="G207">
        <v>2016</v>
      </c>
      <c r="H207">
        <v>13503.4</v>
      </c>
      <c r="I207">
        <v>9602.2999999999993</v>
      </c>
      <c r="J207">
        <v>3932.5</v>
      </c>
      <c r="K207">
        <v>8044.7</v>
      </c>
      <c r="L207" s="5">
        <v>0.59575366200000002</v>
      </c>
      <c r="M207">
        <v>5458.7</v>
      </c>
      <c r="N207" s="5">
        <v>0.40424633800000004</v>
      </c>
    </row>
    <row r="208" spans="1:14" x14ac:dyDescent="0.3">
      <c r="A208" t="s">
        <v>276</v>
      </c>
      <c r="B208" t="s">
        <v>15</v>
      </c>
      <c r="C208" t="s">
        <v>22</v>
      </c>
      <c r="D208" t="s">
        <v>17</v>
      </c>
      <c r="E208" t="s">
        <v>28</v>
      </c>
      <c r="F208" t="s">
        <v>19</v>
      </c>
      <c r="G208">
        <v>2013</v>
      </c>
      <c r="H208">
        <v>13490.4</v>
      </c>
      <c r="I208">
        <v>9955.4</v>
      </c>
      <c r="J208">
        <v>3540.8</v>
      </c>
      <c r="K208">
        <v>8582.9</v>
      </c>
      <c r="L208" s="5">
        <v>0.63622279550000005</v>
      </c>
      <c r="M208">
        <v>4907.5</v>
      </c>
      <c r="N208" s="5">
        <v>0.36377720450000001</v>
      </c>
    </row>
    <row r="209" spans="1:14" x14ac:dyDescent="0.3">
      <c r="A209" t="s">
        <v>277</v>
      </c>
      <c r="B209" t="s">
        <v>15</v>
      </c>
      <c r="C209" t="s">
        <v>182</v>
      </c>
      <c r="D209" t="s">
        <v>17</v>
      </c>
      <c r="E209" t="s">
        <v>61</v>
      </c>
      <c r="F209" t="s">
        <v>19</v>
      </c>
      <c r="G209">
        <v>2012</v>
      </c>
      <c r="H209">
        <v>13468.7</v>
      </c>
      <c r="I209">
        <v>12222.3</v>
      </c>
      <c r="J209">
        <v>1249.7</v>
      </c>
      <c r="K209">
        <v>1202.8</v>
      </c>
      <c r="L209" s="5">
        <v>8.9303347759999999E-2</v>
      </c>
      <c r="M209">
        <v>12265.9</v>
      </c>
      <c r="N209" s="5">
        <v>0.91069665220000007</v>
      </c>
    </row>
    <row r="210" spans="1:14" x14ac:dyDescent="0.3">
      <c r="A210" t="s">
        <v>278</v>
      </c>
      <c r="B210" t="s">
        <v>15</v>
      </c>
      <c r="C210" t="s">
        <v>90</v>
      </c>
      <c r="D210" t="s">
        <v>25</v>
      </c>
      <c r="E210" t="s">
        <v>91</v>
      </c>
      <c r="F210" t="s">
        <v>49</v>
      </c>
      <c r="G210">
        <v>2003</v>
      </c>
      <c r="H210">
        <v>13433.6</v>
      </c>
      <c r="I210">
        <v>12366.7</v>
      </c>
      <c r="J210">
        <v>1072.9000000000001</v>
      </c>
      <c r="K210">
        <v>11154.7</v>
      </c>
      <c r="L210" s="5">
        <v>0.83035820630000001</v>
      </c>
      <c r="M210">
        <v>2278.9</v>
      </c>
      <c r="N210" s="5">
        <v>0.16964179369999999</v>
      </c>
    </row>
    <row r="211" spans="1:14" x14ac:dyDescent="0.3">
      <c r="A211" t="s">
        <v>279</v>
      </c>
      <c r="B211" t="s">
        <v>15</v>
      </c>
      <c r="C211" t="s">
        <v>34</v>
      </c>
      <c r="D211" t="s">
        <v>17</v>
      </c>
      <c r="E211" t="s">
        <v>52</v>
      </c>
      <c r="F211" t="s">
        <v>49</v>
      </c>
      <c r="G211">
        <v>1967</v>
      </c>
      <c r="H211">
        <v>13404.2</v>
      </c>
      <c r="I211">
        <v>11623.7</v>
      </c>
      <c r="J211">
        <v>1790.5</v>
      </c>
      <c r="K211">
        <v>13400.7</v>
      </c>
      <c r="L211" s="5">
        <v>0.99973888779999998</v>
      </c>
      <c r="M211">
        <v>3.5</v>
      </c>
      <c r="N211" s="5">
        <v>2.6111218869999999E-4</v>
      </c>
    </row>
    <row r="212" spans="1:14" x14ac:dyDescent="0.3">
      <c r="A212" t="s">
        <v>280</v>
      </c>
      <c r="B212" t="s">
        <v>15</v>
      </c>
      <c r="C212" t="s">
        <v>22</v>
      </c>
      <c r="D212" t="s">
        <v>17</v>
      </c>
      <c r="E212" t="s">
        <v>18</v>
      </c>
      <c r="F212" t="s">
        <v>19</v>
      </c>
      <c r="G212">
        <v>2006</v>
      </c>
      <c r="H212">
        <v>13398.3</v>
      </c>
      <c r="I212">
        <v>13409.8</v>
      </c>
      <c r="J212">
        <v>0</v>
      </c>
      <c r="K212">
        <v>4665.5</v>
      </c>
      <c r="L212" s="5">
        <v>0.34821581839999999</v>
      </c>
      <c r="M212">
        <v>8732.7999999999993</v>
      </c>
      <c r="N212" s="5">
        <v>0.65178418160000007</v>
      </c>
    </row>
    <row r="213" spans="1:14" x14ac:dyDescent="0.3">
      <c r="A213" t="s">
        <v>281</v>
      </c>
      <c r="B213" t="s">
        <v>15</v>
      </c>
      <c r="C213" t="s">
        <v>22</v>
      </c>
      <c r="D213" t="s">
        <v>25</v>
      </c>
      <c r="E213" t="s">
        <v>26</v>
      </c>
      <c r="F213" t="s">
        <v>49</v>
      </c>
      <c r="G213">
        <v>1998</v>
      </c>
      <c r="H213">
        <v>13323.2</v>
      </c>
      <c r="I213">
        <v>8971.1</v>
      </c>
      <c r="J213">
        <v>4360.5</v>
      </c>
      <c r="K213">
        <v>5734.4</v>
      </c>
      <c r="L213" s="5">
        <v>0.43040710939999999</v>
      </c>
      <c r="M213">
        <v>7588.8</v>
      </c>
      <c r="N213" s="5">
        <v>0.56959289060000007</v>
      </c>
    </row>
    <row r="214" spans="1:14" x14ac:dyDescent="0.3">
      <c r="A214" t="s">
        <v>282</v>
      </c>
      <c r="B214" t="s">
        <v>15</v>
      </c>
      <c r="C214" t="s">
        <v>22</v>
      </c>
      <c r="D214" t="s">
        <v>17</v>
      </c>
      <c r="E214" t="s">
        <v>18</v>
      </c>
      <c r="F214" t="s">
        <v>19</v>
      </c>
      <c r="G214">
        <v>1984</v>
      </c>
      <c r="H214">
        <v>13320.3</v>
      </c>
      <c r="I214">
        <v>8568.7000000000007</v>
      </c>
      <c r="J214">
        <v>4756.2</v>
      </c>
      <c r="K214">
        <v>464.4</v>
      </c>
      <c r="L214" s="5">
        <v>3.4864079640000004E-2</v>
      </c>
      <c r="M214">
        <v>12855.9</v>
      </c>
      <c r="N214" s="5">
        <v>0.96513592040000007</v>
      </c>
    </row>
    <row r="215" spans="1:14" x14ac:dyDescent="0.3">
      <c r="A215" t="s">
        <v>283</v>
      </c>
      <c r="B215" t="s">
        <v>15</v>
      </c>
      <c r="C215" t="s">
        <v>22</v>
      </c>
      <c r="D215" t="s">
        <v>25</v>
      </c>
      <c r="E215" t="s">
        <v>26</v>
      </c>
      <c r="F215" t="s">
        <v>19</v>
      </c>
      <c r="G215">
        <v>2017</v>
      </c>
      <c r="H215">
        <v>13291</v>
      </c>
      <c r="I215">
        <v>10113.700000000001</v>
      </c>
      <c r="J215">
        <v>3183.3</v>
      </c>
      <c r="K215">
        <v>4068.1</v>
      </c>
      <c r="L215" s="5">
        <v>0.30607930179999998</v>
      </c>
      <c r="M215">
        <v>9222.9</v>
      </c>
      <c r="N215" s="5">
        <v>0.69392069820000002</v>
      </c>
    </row>
    <row r="216" spans="1:14" x14ac:dyDescent="0.3">
      <c r="A216" t="s">
        <v>284</v>
      </c>
      <c r="B216" t="s">
        <v>79</v>
      </c>
      <c r="C216" t="s">
        <v>22</v>
      </c>
      <c r="D216" t="s">
        <v>17</v>
      </c>
      <c r="E216" t="s">
        <v>58</v>
      </c>
      <c r="F216" t="s">
        <v>49</v>
      </c>
      <c r="G216">
        <v>2008</v>
      </c>
      <c r="H216">
        <v>13287</v>
      </c>
      <c r="I216">
        <v>13294.9</v>
      </c>
      <c r="J216">
        <v>0</v>
      </c>
      <c r="K216">
        <v>13287</v>
      </c>
      <c r="L216" s="5">
        <v>1</v>
      </c>
      <c r="M216">
        <v>0</v>
      </c>
      <c r="N216" s="5">
        <v>0</v>
      </c>
    </row>
    <row r="217" spans="1:14" x14ac:dyDescent="0.3">
      <c r="A217" t="s">
        <v>285</v>
      </c>
      <c r="B217" t="s">
        <v>15</v>
      </c>
      <c r="C217" t="s">
        <v>22</v>
      </c>
      <c r="D217" t="s">
        <v>17</v>
      </c>
      <c r="E217" t="s">
        <v>18</v>
      </c>
      <c r="F217" t="s">
        <v>19</v>
      </c>
      <c r="G217">
        <v>2008</v>
      </c>
      <c r="H217">
        <v>13281.8</v>
      </c>
      <c r="I217">
        <v>12309.2</v>
      </c>
      <c r="J217">
        <v>978.1</v>
      </c>
      <c r="K217">
        <v>11171.3</v>
      </c>
      <c r="L217" s="5">
        <v>0.84109834510000003</v>
      </c>
      <c r="M217">
        <v>2110.5</v>
      </c>
      <c r="N217" s="5">
        <v>0.15890165489999999</v>
      </c>
    </row>
    <row r="218" spans="1:14" x14ac:dyDescent="0.3">
      <c r="A218" t="s">
        <v>286</v>
      </c>
      <c r="B218" t="s">
        <v>15</v>
      </c>
      <c r="C218" t="s">
        <v>22</v>
      </c>
      <c r="D218" t="s">
        <v>25</v>
      </c>
      <c r="E218" t="s">
        <v>26</v>
      </c>
      <c r="F218" t="s">
        <v>19</v>
      </c>
      <c r="G218">
        <v>2000</v>
      </c>
      <c r="H218">
        <v>13273.4</v>
      </c>
      <c r="I218">
        <v>4702.2</v>
      </c>
      <c r="J218">
        <v>8580.5</v>
      </c>
      <c r="K218">
        <v>575.4</v>
      </c>
      <c r="L218" s="5">
        <v>4.3349857610000007E-2</v>
      </c>
      <c r="M218">
        <v>12698</v>
      </c>
      <c r="N218" s="5">
        <v>0.95665014240000001</v>
      </c>
    </row>
    <row r="219" spans="1:14" x14ac:dyDescent="0.3">
      <c r="A219" t="s">
        <v>287</v>
      </c>
      <c r="B219" t="s">
        <v>79</v>
      </c>
      <c r="C219" t="s">
        <v>22</v>
      </c>
      <c r="D219" t="s">
        <v>17</v>
      </c>
      <c r="E219" t="s">
        <v>61</v>
      </c>
      <c r="F219" t="s">
        <v>49</v>
      </c>
      <c r="G219">
        <v>2009</v>
      </c>
      <c r="H219">
        <v>13220.4</v>
      </c>
      <c r="I219">
        <v>11619.7</v>
      </c>
      <c r="J219">
        <v>1604</v>
      </c>
      <c r="K219">
        <v>45.4</v>
      </c>
      <c r="L219" s="5">
        <v>3.4340867139999996E-3</v>
      </c>
      <c r="M219">
        <v>13175</v>
      </c>
      <c r="N219" s="5">
        <v>0.99656591329999999</v>
      </c>
    </row>
    <row r="220" spans="1:14" x14ac:dyDescent="0.3">
      <c r="A220" t="s">
        <v>288</v>
      </c>
      <c r="B220" t="s">
        <v>15</v>
      </c>
      <c r="C220" t="s">
        <v>22</v>
      </c>
      <c r="D220" t="s">
        <v>17</v>
      </c>
      <c r="E220" t="s">
        <v>23</v>
      </c>
      <c r="F220" t="s">
        <v>19</v>
      </c>
      <c r="G220">
        <v>1999</v>
      </c>
      <c r="H220">
        <v>13208.3</v>
      </c>
      <c r="I220">
        <v>12134.4</v>
      </c>
      <c r="J220">
        <v>1076.8</v>
      </c>
      <c r="K220">
        <v>11821.4</v>
      </c>
      <c r="L220" s="5">
        <v>0.89499784230000001</v>
      </c>
      <c r="M220">
        <v>1386.9</v>
      </c>
      <c r="N220" s="5">
        <v>0.1050021577</v>
      </c>
    </row>
    <row r="221" spans="1:14" x14ac:dyDescent="0.3">
      <c r="A221" t="s">
        <v>289</v>
      </c>
      <c r="B221" t="s">
        <v>15</v>
      </c>
      <c r="C221" t="s">
        <v>22</v>
      </c>
      <c r="D221" t="s">
        <v>17</v>
      </c>
      <c r="E221" t="s">
        <v>28</v>
      </c>
      <c r="F221" t="s">
        <v>19</v>
      </c>
      <c r="G221">
        <v>2010</v>
      </c>
      <c r="H221">
        <v>13065.7</v>
      </c>
      <c r="I221">
        <v>7612.4</v>
      </c>
      <c r="J221">
        <v>5460.1</v>
      </c>
      <c r="K221">
        <v>5541.7</v>
      </c>
      <c r="L221" s="5">
        <v>0.42414107170000004</v>
      </c>
      <c r="M221">
        <v>7524</v>
      </c>
      <c r="N221" s="5">
        <v>0.57585892829999996</v>
      </c>
    </row>
    <row r="222" spans="1:14" x14ac:dyDescent="0.3">
      <c r="A222" t="s">
        <v>290</v>
      </c>
      <c r="B222" t="s">
        <v>15</v>
      </c>
      <c r="C222" t="s">
        <v>22</v>
      </c>
      <c r="D222" t="s">
        <v>17</v>
      </c>
      <c r="E222" t="s">
        <v>18</v>
      </c>
      <c r="F222" t="s">
        <v>19</v>
      </c>
      <c r="G222">
        <v>2018</v>
      </c>
      <c r="H222">
        <v>13039.8</v>
      </c>
      <c r="I222">
        <v>12982.3</v>
      </c>
      <c r="J222">
        <v>59.7</v>
      </c>
      <c r="K222">
        <v>7413.1</v>
      </c>
      <c r="L222" s="5">
        <v>0.56849798309999999</v>
      </c>
      <c r="M222">
        <v>5626.7</v>
      </c>
      <c r="N222" s="5">
        <v>0.43150201690000001</v>
      </c>
    </row>
    <row r="223" spans="1:14" x14ac:dyDescent="0.3">
      <c r="A223" t="s">
        <v>291</v>
      </c>
      <c r="B223" t="s">
        <v>15</v>
      </c>
      <c r="C223" t="s">
        <v>22</v>
      </c>
      <c r="D223" t="s">
        <v>17</v>
      </c>
      <c r="E223" t="s">
        <v>292</v>
      </c>
      <c r="F223" t="s">
        <v>49</v>
      </c>
      <c r="G223">
        <v>1998</v>
      </c>
      <c r="H223">
        <v>13009.4</v>
      </c>
      <c r="I223">
        <v>13017.1</v>
      </c>
      <c r="J223">
        <v>0</v>
      </c>
      <c r="K223">
        <v>12963.5</v>
      </c>
      <c r="L223" s="5">
        <v>0.99647178190000008</v>
      </c>
      <c r="M223">
        <v>45.9</v>
      </c>
      <c r="N223" s="5">
        <v>3.5282180579999998E-3</v>
      </c>
    </row>
    <row r="224" spans="1:14" x14ac:dyDescent="0.3">
      <c r="A224" t="s">
        <v>293</v>
      </c>
      <c r="B224" t="s">
        <v>15</v>
      </c>
      <c r="C224" t="s">
        <v>22</v>
      </c>
      <c r="D224" t="s">
        <v>17</v>
      </c>
      <c r="E224" t="s">
        <v>18</v>
      </c>
      <c r="F224" t="s">
        <v>19</v>
      </c>
      <c r="G224">
        <v>2009</v>
      </c>
      <c r="H224">
        <v>12994.4</v>
      </c>
      <c r="I224">
        <v>12999.7</v>
      </c>
      <c r="J224">
        <v>0</v>
      </c>
      <c r="K224">
        <v>5593.4</v>
      </c>
      <c r="L224" s="5">
        <v>0.43044696180000003</v>
      </c>
      <c r="M224">
        <v>7401</v>
      </c>
      <c r="N224" s="5">
        <v>0.56955303820000003</v>
      </c>
    </row>
    <row r="225" spans="1:14" x14ac:dyDescent="0.3">
      <c r="A225" t="s">
        <v>294</v>
      </c>
      <c r="B225" t="s">
        <v>79</v>
      </c>
      <c r="C225" t="s">
        <v>148</v>
      </c>
      <c r="D225" t="s">
        <v>17</v>
      </c>
      <c r="E225" t="s">
        <v>23</v>
      </c>
      <c r="F225" t="s">
        <v>49</v>
      </c>
      <c r="G225">
        <v>1972</v>
      </c>
      <c r="H225">
        <v>12992.2</v>
      </c>
      <c r="I225">
        <v>10479.5</v>
      </c>
      <c r="J225">
        <v>2516.3000000000002</v>
      </c>
      <c r="K225">
        <v>12992.2</v>
      </c>
      <c r="L225" s="5">
        <v>1</v>
      </c>
      <c r="M225">
        <v>0</v>
      </c>
      <c r="N225" s="5">
        <v>0</v>
      </c>
    </row>
    <row r="226" spans="1:14" x14ac:dyDescent="0.3">
      <c r="A226" t="s">
        <v>295</v>
      </c>
      <c r="B226" t="s">
        <v>21</v>
      </c>
      <c r="C226" t="s">
        <v>22</v>
      </c>
      <c r="D226" t="s">
        <v>25</v>
      </c>
      <c r="E226" t="s">
        <v>83</v>
      </c>
      <c r="F226" t="s">
        <v>19</v>
      </c>
      <c r="G226">
        <v>2013</v>
      </c>
      <c r="H226">
        <v>12985.2</v>
      </c>
      <c r="I226">
        <v>8772.2000000000007</v>
      </c>
      <c r="J226">
        <v>4216.8</v>
      </c>
      <c r="K226">
        <v>2160.8000000000002</v>
      </c>
      <c r="L226" s="5">
        <v>0.16640483010000001</v>
      </c>
      <c r="M226">
        <v>10824.4</v>
      </c>
      <c r="N226" s="5">
        <v>0.83359516990000004</v>
      </c>
    </row>
    <row r="227" spans="1:14" x14ac:dyDescent="0.3">
      <c r="A227" t="s">
        <v>296</v>
      </c>
      <c r="B227" t="s">
        <v>15</v>
      </c>
      <c r="C227" t="s">
        <v>22</v>
      </c>
      <c r="D227" t="s">
        <v>25</v>
      </c>
      <c r="E227" t="s">
        <v>26</v>
      </c>
      <c r="F227" t="s">
        <v>19</v>
      </c>
      <c r="G227">
        <v>2003</v>
      </c>
      <c r="H227">
        <v>12929.7</v>
      </c>
      <c r="I227">
        <v>5938.5</v>
      </c>
      <c r="J227">
        <v>6997.8</v>
      </c>
      <c r="K227">
        <v>1490.1</v>
      </c>
      <c r="L227" s="5">
        <v>0.1152462934</v>
      </c>
      <c r="M227">
        <v>11439.6</v>
      </c>
      <c r="N227" s="5">
        <v>0.88475370659999997</v>
      </c>
    </row>
    <row r="228" spans="1:14" x14ac:dyDescent="0.3">
      <c r="A228" t="s">
        <v>297</v>
      </c>
      <c r="B228" t="s">
        <v>15</v>
      </c>
      <c r="C228" t="s">
        <v>243</v>
      </c>
      <c r="D228" t="s">
        <v>25</v>
      </c>
      <c r="E228" t="s">
        <v>83</v>
      </c>
      <c r="F228" t="s">
        <v>19</v>
      </c>
      <c r="G228">
        <v>1995</v>
      </c>
      <c r="H228">
        <v>12857.9</v>
      </c>
      <c r="I228">
        <v>11010.3</v>
      </c>
      <c r="J228">
        <v>1853</v>
      </c>
      <c r="K228">
        <v>3301</v>
      </c>
      <c r="L228" s="5">
        <v>0.25672932589999997</v>
      </c>
      <c r="M228">
        <v>9556.9</v>
      </c>
      <c r="N228" s="5">
        <v>0.74327067410000003</v>
      </c>
    </row>
    <row r="229" spans="1:14" x14ac:dyDescent="0.3">
      <c r="A229" t="s">
        <v>298</v>
      </c>
      <c r="B229" t="s">
        <v>15</v>
      </c>
      <c r="C229" t="s">
        <v>22</v>
      </c>
      <c r="D229" t="s">
        <v>17</v>
      </c>
      <c r="E229" t="s">
        <v>18</v>
      </c>
      <c r="F229" t="s">
        <v>19</v>
      </c>
      <c r="G229">
        <v>2015</v>
      </c>
      <c r="H229">
        <v>12823.8</v>
      </c>
      <c r="I229">
        <v>5535</v>
      </c>
      <c r="J229">
        <v>7288.8</v>
      </c>
      <c r="K229">
        <v>2109.1999999999998</v>
      </c>
      <c r="L229" s="5">
        <v>0.16447542850000002</v>
      </c>
      <c r="M229">
        <v>10714.6</v>
      </c>
      <c r="N229" s="5">
        <v>0.83552457149999992</v>
      </c>
    </row>
    <row r="230" spans="1:14" x14ac:dyDescent="0.3">
      <c r="A230" t="s">
        <v>299</v>
      </c>
      <c r="B230" t="s">
        <v>15</v>
      </c>
      <c r="C230" t="s">
        <v>90</v>
      </c>
      <c r="D230" t="s">
        <v>25</v>
      </c>
      <c r="E230" t="s">
        <v>91</v>
      </c>
      <c r="F230" t="s">
        <v>19</v>
      </c>
      <c r="G230">
        <v>2018</v>
      </c>
      <c r="H230">
        <v>12810.9</v>
      </c>
      <c r="I230">
        <v>6582.9</v>
      </c>
      <c r="J230">
        <v>6236.2</v>
      </c>
      <c r="K230">
        <v>1707.5</v>
      </c>
      <c r="L230" s="5">
        <v>0.13328493699999999</v>
      </c>
      <c r="M230">
        <v>11103.4</v>
      </c>
      <c r="N230" s="5">
        <v>0.86671506300000001</v>
      </c>
    </row>
    <row r="231" spans="1:14" x14ac:dyDescent="0.3">
      <c r="A231" t="s">
        <v>300</v>
      </c>
      <c r="B231" t="s">
        <v>15</v>
      </c>
      <c r="C231" t="s">
        <v>22</v>
      </c>
      <c r="D231" t="s">
        <v>25</v>
      </c>
      <c r="E231" t="s">
        <v>26</v>
      </c>
      <c r="F231" t="s">
        <v>49</v>
      </c>
      <c r="G231">
        <v>2000</v>
      </c>
      <c r="H231">
        <v>12799.8</v>
      </c>
      <c r="I231">
        <v>5018.3999999999996</v>
      </c>
      <c r="J231">
        <v>7786.4</v>
      </c>
      <c r="K231">
        <v>1713.9</v>
      </c>
      <c r="L231" s="5">
        <v>0.13390052969999999</v>
      </c>
      <c r="M231">
        <v>11085.9</v>
      </c>
      <c r="N231" s="5">
        <v>0.86609947030000001</v>
      </c>
    </row>
    <row r="232" spans="1:14" x14ac:dyDescent="0.3">
      <c r="A232" t="s">
        <v>301</v>
      </c>
      <c r="B232" t="s">
        <v>15</v>
      </c>
      <c r="C232" t="s">
        <v>95</v>
      </c>
      <c r="D232" t="s">
        <v>17</v>
      </c>
      <c r="E232" t="s">
        <v>52</v>
      </c>
      <c r="F232" t="s">
        <v>49</v>
      </c>
      <c r="G232">
        <v>2011</v>
      </c>
      <c r="H232">
        <v>12788.3</v>
      </c>
      <c r="I232">
        <v>12025.6</v>
      </c>
      <c r="J232">
        <v>766.3</v>
      </c>
      <c r="K232">
        <v>11526.4</v>
      </c>
      <c r="L232" s="5">
        <v>0.90132386629999994</v>
      </c>
      <c r="M232">
        <v>1261.9000000000001</v>
      </c>
      <c r="N232" s="5">
        <v>9.8676133649999997E-2</v>
      </c>
    </row>
    <row r="233" spans="1:14" x14ac:dyDescent="0.3">
      <c r="A233" t="s">
        <v>302</v>
      </c>
      <c r="B233" t="s">
        <v>15</v>
      </c>
      <c r="C233" t="s">
        <v>22</v>
      </c>
      <c r="D233" t="s">
        <v>17</v>
      </c>
      <c r="E233" t="s">
        <v>18</v>
      </c>
      <c r="F233" t="s">
        <v>19</v>
      </c>
      <c r="G233">
        <v>2015</v>
      </c>
      <c r="H233">
        <v>12751</v>
      </c>
      <c r="I233">
        <v>8481.6</v>
      </c>
      <c r="J233">
        <v>4272.5</v>
      </c>
      <c r="K233">
        <v>5659.8</v>
      </c>
      <c r="L233" s="5">
        <v>0.4438710689</v>
      </c>
      <c r="M233">
        <v>7091.2</v>
      </c>
      <c r="N233" s="5">
        <v>0.55612893110000006</v>
      </c>
    </row>
    <row r="234" spans="1:14" x14ac:dyDescent="0.3">
      <c r="A234" t="s">
        <v>303</v>
      </c>
      <c r="B234" t="s">
        <v>21</v>
      </c>
      <c r="C234" t="s">
        <v>46</v>
      </c>
      <c r="D234" t="s">
        <v>47</v>
      </c>
      <c r="E234" t="s">
        <v>48</v>
      </c>
      <c r="F234" t="s">
        <v>49</v>
      </c>
      <c r="G234">
        <v>2015</v>
      </c>
      <c r="H234">
        <v>12716.2</v>
      </c>
      <c r="I234">
        <v>2648.7</v>
      </c>
      <c r="J234">
        <v>10073.4</v>
      </c>
      <c r="K234">
        <v>12242.6</v>
      </c>
      <c r="L234" s="5">
        <v>0.96275616929999996</v>
      </c>
      <c r="M234">
        <v>473.6</v>
      </c>
      <c r="N234" s="5">
        <v>3.7243830700000001E-2</v>
      </c>
    </row>
    <row r="235" spans="1:14" x14ac:dyDescent="0.3">
      <c r="A235" t="s">
        <v>304</v>
      </c>
      <c r="B235" t="s">
        <v>15</v>
      </c>
      <c r="C235" t="s">
        <v>22</v>
      </c>
      <c r="D235" t="s">
        <v>25</v>
      </c>
      <c r="E235" t="s">
        <v>26</v>
      </c>
      <c r="F235" t="s">
        <v>19</v>
      </c>
      <c r="G235">
        <v>2004</v>
      </c>
      <c r="H235">
        <v>12713.2</v>
      </c>
      <c r="I235">
        <v>12596.1</v>
      </c>
      <c r="J235">
        <v>124.8</v>
      </c>
      <c r="K235">
        <v>1284.7</v>
      </c>
      <c r="L235" s="5">
        <v>0.10105244940000001</v>
      </c>
      <c r="M235">
        <v>11428.5</v>
      </c>
      <c r="N235" s="5">
        <v>0.89894755059999998</v>
      </c>
    </row>
    <row r="236" spans="1:14" x14ac:dyDescent="0.3">
      <c r="A236" t="s">
        <v>305</v>
      </c>
      <c r="B236" t="s">
        <v>21</v>
      </c>
      <c r="C236" t="s">
        <v>22</v>
      </c>
      <c r="D236" t="s">
        <v>17</v>
      </c>
      <c r="E236" t="s">
        <v>23</v>
      </c>
      <c r="F236" t="s">
        <v>19</v>
      </c>
      <c r="G236">
        <v>2008</v>
      </c>
      <c r="H236">
        <v>12700.7</v>
      </c>
      <c r="I236">
        <v>8281.2000000000007</v>
      </c>
      <c r="J236">
        <v>4423.1000000000004</v>
      </c>
      <c r="K236">
        <v>7763.9</v>
      </c>
      <c r="L236" s="5">
        <v>0.61129701510000001</v>
      </c>
      <c r="M236">
        <v>4936.8</v>
      </c>
      <c r="N236" s="5">
        <v>0.38870298490000005</v>
      </c>
    </row>
    <row r="237" spans="1:14" x14ac:dyDescent="0.3">
      <c r="A237" t="s">
        <v>306</v>
      </c>
      <c r="B237" t="s">
        <v>15</v>
      </c>
      <c r="C237" t="s">
        <v>34</v>
      </c>
      <c r="D237" t="s">
        <v>17</v>
      </c>
      <c r="E237" t="s">
        <v>23</v>
      </c>
      <c r="F237" t="s">
        <v>19</v>
      </c>
      <c r="G237">
        <v>2010</v>
      </c>
      <c r="H237">
        <v>12650.8</v>
      </c>
      <c r="I237">
        <v>11398.2</v>
      </c>
      <c r="J237">
        <v>1255.5</v>
      </c>
      <c r="K237">
        <v>5777.3</v>
      </c>
      <c r="L237" s="5">
        <v>0.4566746767</v>
      </c>
      <c r="M237">
        <v>6873.5</v>
      </c>
      <c r="N237" s="5">
        <v>0.54332532329999994</v>
      </c>
    </row>
    <row r="238" spans="1:14" x14ac:dyDescent="0.3">
      <c r="A238" t="s">
        <v>307</v>
      </c>
      <c r="B238" t="s">
        <v>15</v>
      </c>
      <c r="C238" t="s">
        <v>16</v>
      </c>
      <c r="D238" t="s">
        <v>17</v>
      </c>
      <c r="E238" t="s">
        <v>23</v>
      </c>
      <c r="F238" t="s">
        <v>19</v>
      </c>
      <c r="G238">
        <v>2001</v>
      </c>
      <c r="H238">
        <v>12647.5</v>
      </c>
      <c r="I238">
        <v>11934</v>
      </c>
      <c r="J238">
        <v>715.4</v>
      </c>
      <c r="K238">
        <v>10362.700000000001</v>
      </c>
      <c r="L238" s="5">
        <v>0.8193476972</v>
      </c>
      <c r="M238">
        <v>2284.8000000000002</v>
      </c>
      <c r="N238" s="5">
        <v>0.18065230280000003</v>
      </c>
    </row>
    <row r="239" spans="1:14" x14ac:dyDescent="0.3">
      <c r="A239" t="s">
        <v>308</v>
      </c>
      <c r="B239" t="s">
        <v>15</v>
      </c>
      <c r="C239" t="s">
        <v>22</v>
      </c>
      <c r="D239" t="s">
        <v>17</v>
      </c>
      <c r="E239" t="s">
        <v>18</v>
      </c>
      <c r="F239" t="s">
        <v>19</v>
      </c>
      <c r="G239">
        <v>2000</v>
      </c>
      <c r="H239">
        <v>12593.2</v>
      </c>
      <c r="I239">
        <v>6266</v>
      </c>
      <c r="J239">
        <v>6330.7</v>
      </c>
      <c r="K239">
        <v>351.5</v>
      </c>
      <c r="L239" s="5">
        <v>2.7911888959999999E-2</v>
      </c>
      <c r="M239">
        <v>12241.7</v>
      </c>
      <c r="N239" s="5">
        <v>0.97208811100000003</v>
      </c>
    </row>
    <row r="240" spans="1:14" x14ac:dyDescent="0.3">
      <c r="A240" t="s">
        <v>309</v>
      </c>
      <c r="B240" t="s">
        <v>21</v>
      </c>
      <c r="C240" t="s">
        <v>34</v>
      </c>
      <c r="D240" t="s">
        <v>17</v>
      </c>
      <c r="E240" t="s">
        <v>23</v>
      </c>
      <c r="F240" t="s">
        <v>19</v>
      </c>
      <c r="G240">
        <v>2013</v>
      </c>
      <c r="H240">
        <v>12593</v>
      </c>
      <c r="I240">
        <v>12542.7</v>
      </c>
      <c r="J240">
        <v>29.5</v>
      </c>
      <c r="K240">
        <v>3706.6</v>
      </c>
      <c r="L240" s="5">
        <v>0.29433812440000001</v>
      </c>
      <c r="M240">
        <v>8886.4</v>
      </c>
      <c r="N240" s="5">
        <v>0.70566187560000004</v>
      </c>
    </row>
    <row r="241" spans="1:14" x14ac:dyDescent="0.3">
      <c r="A241" t="s">
        <v>310</v>
      </c>
      <c r="B241" t="s">
        <v>15</v>
      </c>
      <c r="C241" t="s">
        <v>34</v>
      </c>
      <c r="D241" t="s">
        <v>17</v>
      </c>
      <c r="E241" t="s">
        <v>52</v>
      </c>
      <c r="F241" t="s">
        <v>49</v>
      </c>
      <c r="G241">
        <v>1964</v>
      </c>
      <c r="H241">
        <v>12566.2</v>
      </c>
      <c r="I241">
        <v>4905.7</v>
      </c>
      <c r="J241">
        <v>7658.9</v>
      </c>
      <c r="K241">
        <v>12335.7</v>
      </c>
      <c r="L241" s="5">
        <v>0.98165714380000002</v>
      </c>
      <c r="M241">
        <v>230.5</v>
      </c>
      <c r="N241" s="5">
        <v>1.8342856229999999E-2</v>
      </c>
    </row>
    <row r="242" spans="1:14" x14ac:dyDescent="0.3">
      <c r="A242" t="s">
        <v>311</v>
      </c>
      <c r="B242" t="s">
        <v>15</v>
      </c>
      <c r="C242" t="s">
        <v>22</v>
      </c>
      <c r="D242" t="s">
        <v>17</v>
      </c>
      <c r="E242" t="s">
        <v>23</v>
      </c>
      <c r="F242" t="s">
        <v>19</v>
      </c>
      <c r="G242">
        <v>1939</v>
      </c>
      <c r="H242">
        <v>12421.7</v>
      </c>
      <c r="I242">
        <v>11999.7</v>
      </c>
      <c r="J242">
        <v>421.9</v>
      </c>
      <c r="K242">
        <v>9162.6</v>
      </c>
      <c r="L242" s="5">
        <v>0.73762850499999999</v>
      </c>
      <c r="M242">
        <v>3259.1</v>
      </c>
      <c r="N242" s="5">
        <v>0.26237149500000001</v>
      </c>
    </row>
    <row r="243" spans="1:14" x14ac:dyDescent="0.3">
      <c r="A243" t="s">
        <v>312</v>
      </c>
      <c r="B243" t="s">
        <v>15</v>
      </c>
      <c r="C243" t="s">
        <v>129</v>
      </c>
      <c r="D243" t="s">
        <v>130</v>
      </c>
      <c r="E243" t="s">
        <v>61</v>
      </c>
      <c r="F243" t="s">
        <v>19</v>
      </c>
      <c r="G243">
        <v>2014</v>
      </c>
      <c r="H243">
        <v>12403.3</v>
      </c>
      <c r="I243">
        <v>7261.2</v>
      </c>
      <c r="J243">
        <v>5145.8</v>
      </c>
      <c r="K243">
        <v>376.4</v>
      </c>
      <c r="L243" s="5">
        <v>3.0346762560000001E-2</v>
      </c>
      <c r="M243">
        <v>12026.9</v>
      </c>
      <c r="N243" s="5">
        <v>0.96965323739999998</v>
      </c>
    </row>
    <row r="244" spans="1:14" x14ac:dyDescent="0.3">
      <c r="A244" t="s">
        <v>313</v>
      </c>
      <c r="B244" t="s">
        <v>15</v>
      </c>
      <c r="C244" t="s">
        <v>22</v>
      </c>
      <c r="D244" t="s">
        <v>25</v>
      </c>
      <c r="E244" t="s">
        <v>26</v>
      </c>
      <c r="F244" t="s">
        <v>19</v>
      </c>
      <c r="G244">
        <v>2015</v>
      </c>
      <c r="H244">
        <v>12394.6</v>
      </c>
      <c r="I244">
        <v>4419.3999999999996</v>
      </c>
      <c r="J244">
        <v>7981.5</v>
      </c>
      <c r="K244">
        <v>1528.1</v>
      </c>
      <c r="L244" s="5">
        <v>0.12328756070000001</v>
      </c>
      <c r="M244">
        <v>10866.5</v>
      </c>
      <c r="N244" s="5">
        <v>0.87671243929999998</v>
      </c>
    </row>
    <row r="245" spans="1:14" x14ac:dyDescent="0.3">
      <c r="A245" t="s">
        <v>314</v>
      </c>
      <c r="B245" t="s">
        <v>15</v>
      </c>
      <c r="C245" t="s">
        <v>167</v>
      </c>
      <c r="D245" t="s">
        <v>168</v>
      </c>
      <c r="E245" t="s">
        <v>169</v>
      </c>
      <c r="F245" t="s">
        <v>19</v>
      </c>
      <c r="G245">
        <v>2009</v>
      </c>
      <c r="H245">
        <v>12324.9</v>
      </c>
      <c r="I245">
        <v>10393.6</v>
      </c>
      <c r="J245">
        <v>1924.7</v>
      </c>
      <c r="K245">
        <v>8841.9</v>
      </c>
      <c r="L245" s="5">
        <v>0.71740135820000006</v>
      </c>
      <c r="M245">
        <v>3483</v>
      </c>
      <c r="N245" s="5">
        <v>0.28259864179999999</v>
      </c>
    </row>
    <row r="246" spans="1:14" x14ac:dyDescent="0.3">
      <c r="A246" t="s">
        <v>315</v>
      </c>
      <c r="B246" t="s">
        <v>15</v>
      </c>
      <c r="C246" t="s">
        <v>22</v>
      </c>
      <c r="D246" t="s">
        <v>25</v>
      </c>
      <c r="E246" t="s">
        <v>18</v>
      </c>
      <c r="F246" t="s">
        <v>19</v>
      </c>
      <c r="G246">
        <v>2017</v>
      </c>
      <c r="H246">
        <v>12209.5</v>
      </c>
      <c r="I246">
        <v>8937.9</v>
      </c>
      <c r="J246">
        <v>3281.7</v>
      </c>
      <c r="K246">
        <v>3226.5</v>
      </c>
      <c r="L246" s="5">
        <v>0.2642614358</v>
      </c>
      <c r="M246">
        <v>8983</v>
      </c>
      <c r="N246" s="5">
        <v>0.73573856419999994</v>
      </c>
    </row>
    <row r="247" spans="1:14" x14ac:dyDescent="0.3">
      <c r="A247" t="s">
        <v>316</v>
      </c>
      <c r="B247" t="s">
        <v>15</v>
      </c>
      <c r="C247" t="s">
        <v>90</v>
      </c>
      <c r="D247" t="s">
        <v>25</v>
      </c>
      <c r="E247" t="s">
        <v>91</v>
      </c>
      <c r="F247" t="s">
        <v>49</v>
      </c>
      <c r="G247">
        <v>2014</v>
      </c>
      <c r="H247">
        <v>12151.3</v>
      </c>
      <c r="I247">
        <v>8589.7999999999993</v>
      </c>
      <c r="J247">
        <v>3569.6</v>
      </c>
      <c r="K247">
        <v>2705.2</v>
      </c>
      <c r="L247" s="5">
        <v>0.22262638570000001</v>
      </c>
      <c r="M247">
        <v>9446.1</v>
      </c>
      <c r="N247" s="5">
        <v>0.77737361430000007</v>
      </c>
    </row>
    <row r="248" spans="1:14" x14ac:dyDescent="0.3">
      <c r="A248" t="s">
        <v>317</v>
      </c>
      <c r="B248" t="s">
        <v>15</v>
      </c>
      <c r="C248" t="s">
        <v>72</v>
      </c>
      <c r="D248" t="s">
        <v>73</v>
      </c>
      <c r="E248" t="s">
        <v>74</v>
      </c>
      <c r="F248" t="s">
        <v>19</v>
      </c>
      <c r="G248">
        <v>2008</v>
      </c>
      <c r="H248">
        <v>12136.7</v>
      </c>
      <c r="I248">
        <v>8.4</v>
      </c>
      <c r="J248">
        <v>12135.9</v>
      </c>
      <c r="K248">
        <v>0</v>
      </c>
      <c r="L248" s="5">
        <v>0</v>
      </c>
      <c r="M248">
        <v>12136.7</v>
      </c>
      <c r="N248" s="5">
        <v>1</v>
      </c>
    </row>
    <row r="249" spans="1:14" x14ac:dyDescent="0.3">
      <c r="A249" t="s">
        <v>318</v>
      </c>
      <c r="B249" t="s">
        <v>21</v>
      </c>
      <c r="C249" t="s">
        <v>22</v>
      </c>
      <c r="D249" t="s">
        <v>17</v>
      </c>
      <c r="E249" t="s">
        <v>28</v>
      </c>
      <c r="F249" t="s">
        <v>19</v>
      </c>
      <c r="G249">
        <v>2001</v>
      </c>
      <c r="H249">
        <v>12099.6</v>
      </c>
      <c r="I249">
        <v>8350.5</v>
      </c>
      <c r="J249">
        <v>3754.7</v>
      </c>
      <c r="K249">
        <v>7341.3</v>
      </c>
      <c r="L249" s="5">
        <v>0.60673906580000003</v>
      </c>
      <c r="M249">
        <v>4758.3</v>
      </c>
      <c r="N249" s="5">
        <v>0.39326093419999997</v>
      </c>
    </row>
    <row r="250" spans="1:14" x14ac:dyDescent="0.3">
      <c r="A250" t="s">
        <v>319</v>
      </c>
      <c r="B250" t="s">
        <v>21</v>
      </c>
      <c r="C250" t="s">
        <v>22</v>
      </c>
      <c r="D250" t="s">
        <v>17</v>
      </c>
      <c r="E250" t="s">
        <v>23</v>
      </c>
      <c r="F250" t="s">
        <v>19</v>
      </c>
      <c r="G250">
        <v>2009</v>
      </c>
      <c r="H250">
        <v>12094.7</v>
      </c>
      <c r="I250">
        <v>7821.4</v>
      </c>
      <c r="J250">
        <v>4279.1000000000004</v>
      </c>
      <c r="K250">
        <v>7189.4</v>
      </c>
      <c r="L250" s="5">
        <v>0.59442565749999998</v>
      </c>
      <c r="M250">
        <v>4905.3</v>
      </c>
      <c r="N250" s="5">
        <v>0.40557434250000002</v>
      </c>
    </row>
    <row r="251" spans="1:14" x14ac:dyDescent="0.3">
      <c r="A251" t="s">
        <v>320</v>
      </c>
      <c r="B251" t="s">
        <v>15</v>
      </c>
      <c r="C251" t="s">
        <v>22</v>
      </c>
      <c r="D251" t="s">
        <v>17</v>
      </c>
      <c r="E251" t="s">
        <v>23</v>
      </c>
      <c r="F251" t="s">
        <v>19</v>
      </c>
      <c r="G251">
        <v>2015</v>
      </c>
      <c r="H251">
        <v>11966.9</v>
      </c>
      <c r="I251">
        <v>10802.2</v>
      </c>
      <c r="J251">
        <v>1167.0999999999999</v>
      </c>
      <c r="K251">
        <v>7423</v>
      </c>
      <c r="L251" s="5">
        <v>0.62029431180000005</v>
      </c>
      <c r="M251">
        <v>4543.8999999999996</v>
      </c>
      <c r="N251" s="5">
        <v>0.37970568819999995</v>
      </c>
    </row>
    <row r="252" spans="1:14" x14ac:dyDescent="0.3">
      <c r="A252" t="s">
        <v>321</v>
      </c>
      <c r="B252" t="s">
        <v>21</v>
      </c>
      <c r="C252" t="s">
        <v>22</v>
      </c>
      <c r="D252" t="s">
        <v>17</v>
      </c>
      <c r="E252" t="s">
        <v>23</v>
      </c>
      <c r="F252" t="s">
        <v>19</v>
      </c>
      <c r="G252">
        <v>1982</v>
      </c>
      <c r="H252">
        <v>11879.6</v>
      </c>
      <c r="I252">
        <v>10122.700000000001</v>
      </c>
      <c r="J252">
        <v>1768.2</v>
      </c>
      <c r="K252">
        <v>8527.5</v>
      </c>
      <c r="L252" s="5">
        <v>0.71782719959999997</v>
      </c>
      <c r="M252">
        <v>3352.1</v>
      </c>
      <c r="N252" s="5">
        <v>0.28217280039999998</v>
      </c>
    </row>
    <row r="253" spans="1:14" x14ac:dyDescent="0.3">
      <c r="A253" t="s">
        <v>322</v>
      </c>
      <c r="B253" t="s">
        <v>15</v>
      </c>
      <c r="C253" t="s">
        <v>90</v>
      </c>
      <c r="D253" t="s">
        <v>25</v>
      </c>
      <c r="E253" t="s">
        <v>83</v>
      </c>
      <c r="F253" t="s">
        <v>49</v>
      </c>
      <c r="G253">
        <v>2005</v>
      </c>
      <c r="H253">
        <v>11853.7</v>
      </c>
      <c r="I253">
        <v>9900.6</v>
      </c>
      <c r="J253">
        <v>1953.1</v>
      </c>
      <c r="K253">
        <v>5248.7</v>
      </c>
      <c r="L253" s="5">
        <v>0.44279001489999997</v>
      </c>
      <c r="M253">
        <v>6605</v>
      </c>
      <c r="N253" s="5">
        <v>0.55720998509999997</v>
      </c>
    </row>
    <row r="254" spans="1:14" x14ac:dyDescent="0.3">
      <c r="A254" t="s">
        <v>323</v>
      </c>
      <c r="B254" t="s">
        <v>15</v>
      </c>
      <c r="C254" t="s">
        <v>22</v>
      </c>
      <c r="D254" t="s">
        <v>17</v>
      </c>
      <c r="E254" t="s">
        <v>28</v>
      </c>
      <c r="F254" t="s">
        <v>19</v>
      </c>
      <c r="G254">
        <v>2004</v>
      </c>
      <c r="H254">
        <v>11821.6</v>
      </c>
      <c r="I254">
        <v>7454.6</v>
      </c>
      <c r="J254">
        <v>4369.1000000000004</v>
      </c>
      <c r="K254">
        <v>5783.2</v>
      </c>
      <c r="L254" s="5">
        <v>0.48920619879999999</v>
      </c>
      <c r="M254">
        <v>6038.4</v>
      </c>
      <c r="N254" s="5">
        <v>0.51079380120000006</v>
      </c>
    </row>
    <row r="255" spans="1:14" x14ac:dyDescent="0.3">
      <c r="A255" t="s">
        <v>324</v>
      </c>
      <c r="B255" t="s">
        <v>21</v>
      </c>
      <c r="C255" t="s">
        <v>22</v>
      </c>
      <c r="D255" t="s">
        <v>17</v>
      </c>
      <c r="E255" t="s">
        <v>23</v>
      </c>
      <c r="F255" t="s">
        <v>19</v>
      </c>
      <c r="G255">
        <v>2009</v>
      </c>
      <c r="H255">
        <v>11817.1</v>
      </c>
      <c r="I255">
        <v>9731.6</v>
      </c>
      <c r="J255">
        <v>2088</v>
      </c>
      <c r="K255">
        <v>7684.3</v>
      </c>
      <c r="L255" s="5">
        <v>0.65026952469999999</v>
      </c>
      <c r="M255">
        <v>4132.8</v>
      </c>
      <c r="N255" s="5">
        <v>0.34973047530000001</v>
      </c>
    </row>
    <row r="256" spans="1:14" x14ac:dyDescent="0.3">
      <c r="A256" t="s">
        <v>325</v>
      </c>
      <c r="B256" t="s">
        <v>15</v>
      </c>
      <c r="C256" t="s">
        <v>22</v>
      </c>
      <c r="D256" t="s">
        <v>17</v>
      </c>
      <c r="E256" t="s">
        <v>18</v>
      </c>
      <c r="F256" t="s">
        <v>19</v>
      </c>
      <c r="G256">
        <v>2017</v>
      </c>
      <c r="H256">
        <v>11783.3</v>
      </c>
      <c r="I256">
        <v>10687.5</v>
      </c>
      <c r="J256">
        <v>1099.4000000000001</v>
      </c>
      <c r="K256">
        <v>8809.7999999999993</v>
      </c>
      <c r="L256" s="5">
        <v>0.74765133709999998</v>
      </c>
      <c r="M256">
        <v>2973.5</v>
      </c>
      <c r="N256" s="5">
        <v>0.25234866290000002</v>
      </c>
    </row>
    <row r="257" spans="1:14" x14ac:dyDescent="0.3">
      <c r="A257" t="s">
        <v>326</v>
      </c>
      <c r="B257" t="s">
        <v>21</v>
      </c>
      <c r="C257" t="s">
        <v>327</v>
      </c>
      <c r="D257" t="s">
        <v>17</v>
      </c>
      <c r="E257" t="s">
        <v>23</v>
      </c>
      <c r="F257" t="s">
        <v>19</v>
      </c>
      <c r="G257">
        <v>2012</v>
      </c>
      <c r="H257">
        <v>11721</v>
      </c>
      <c r="I257">
        <v>11036</v>
      </c>
      <c r="J257">
        <v>689</v>
      </c>
      <c r="K257">
        <v>10605.6</v>
      </c>
      <c r="L257" s="5">
        <v>0.90483747120000002</v>
      </c>
      <c r="M257">
        <v>1115.4000000000001</v>
      </c>
      <c r="N257" s="5">
        <v>9.5162528789999992E-2</v>
      </c>
    </row>
    <row r="258" spans="1:14" x14ac:dyDescent="0.3">
      <c r="A258" t="s">
        <v>328</v>
      </c>
      <c r="B258" t="s">
        <v>15</v>
      </c>
      <c r="C258" t="s">
        <v>167</v>
      </c>
      <c r="D258" t="s">
        <v>168</v>
      </c>
      <c r="E258" t="s">
        <v>18</v>
      </c>
      <c r="F258" t="s">
        <v>19</v>
      </c>
      <c r="G258">
        <v>2019</v>
      </c>
      <c r="H258">
        <v>11715.1</v>
      </c>
      <c r="I258">
        <v>1404.1</v>
      </c>
      <c r="J258">
        <v>10305.200000000001</v>
      </c>
      <c r="K258">
        <v>7.7</v>
      </c>
      <c r="L258" s="5">
        <v>6.5727138479999999E-4</v>
      </c>
      <c r="M258">
        <v>11707.4</v>
      </c>
      <c r="N258" s="5">
        <v>0.99934272859999995</v>
      </c>
    </row>
    <row r="259" spans="1:14" x14ac:dyDescent="0.3">
      <c r="A259" t="s">
        <v>329</v>
      </c>
      <c r="B259" t="s">
        <v>15</v>
      </c>
      <c r="C259" t="s">
        <v>22</v>
      </c>
      <c r="D259" t="s">
        <v>17</v>
      </c>
      <c r="E259" t="s">
        <v>99</v>
      </c>
      <c r="F259" t="s">
        <v>19</v>
      </c>
      <c r="G259">
        <v>2015</v>
      </c>
      <c r="H259">
        <v>11678.7</v>
      </c>
      <c r="I259">
        <v>9802.2000000000007</v>
      </c>
      <c r="J259">
        <v>1883.1</v>
      </c>
      <c r="K259">
        <v>9721.7999999999993</v>
      </c>
      <c r="L259" s="5">
        <v>0.832438542</v>
      </c>
      <c r="M259">
        <v>1956.9</v>
      </c>
      <c r="N259" s="5">
        <v>0.167561458</v>
      </c>
    </row>
    <row r="260" spans="1:14" x14ac:dyDescent="0.3">
      <c r="A260" t="s">
        <v>330</v>
      </c>
      <c r="B260" t="s">
        <v>15</v>
      </c>
      <c r="C260" t="s">
        <v>331</v>
      </c>
      <c r="D260" t="s">
        <v>17</v>
      </c>
      <c r="E260" t="s">
        <v>18</v>
      </c>
      <c r="F260" t="s">
        <v>19</v>
      </c>
      <c r="G260">
        <v>2002</v>
      </c>
      <c r="H260">
        <v>11640.6</v>
      </c>
      <c r="I260">
        <v>6067.8</v>
      </c>
      <c r="J260">
        <v>5576.2</v>
      </c>
      <c r="K260">
        <v>325.2</v>
      </c>
      <c r="L260" s="5">
        <v>2.7936704289999999E-2</v>
      </c>
      <c r="M260">
        <v>11315.4</v>
      </c>
      <c r="N260" s="5">
        <v>0.97206329569999994</v>
      </c>
    </row>
    <row r="261" spans="1:14" x14ac:dyDescent="0.3">
      <c r="A261" t="s">
        <v>332</v>
      </c>
      <c r="B261" t="s">
        <v>21</v>
      </c>
      <c r="C261" t="s">
        <v>22</v>
      </c>
      <c r="D261" t="s">
        <v>17</v>
      </c>
      <c r="E261" t="s">
        <v>23</v>
      </c>
      <c r="F261" t="s">
        <v>19</v>
      </c>
      <c r="G261">
        <v>2014</v>
      </c>
      <c r="H261">
        <v>11632.9</v>
      </c>
      <c r="I261">
        <v>11637.4</v>
      </c>
      <c r="J261">
        <v>0</v>
      </c>
      <c r="K261">
        <v>11489.7</v>
      </c>
      <c r="L261" s="5">
        <v>0.98769008589999996</v>
      </c>
      <c r="M261">
        <v>143.19999999999999</v>
      </c>
      <c r="N261" s="5">
        <v>1.2309914120000001E-2</v>
      </c>
    </row>
    <row r="262" spans="1:14" x14ac:dyDescent="0.3">
      <c r="A262" t="s">
        <v>333</v>
      </c>
      <c r="B262" t="s">
        <v>15</v>
      </c>
      <c r="C262" t="s">
        <v>22</v>
      </c>
      <c r="D262" t="s">
        <v>17</v>
      </c>
      <c r="E262" t="s">
        <v>52</v>
      </c>
      <c r="F262" t="s">
        <v>19</v>
      </c>
      <c r="G262">
        <v>1954</v>
      </c>
      <c r="H262">
        <v>11588.8</v>
      </c>
      <c r="I262">
        <v>11545</v>
      </c>
      <c r="J262">
        <v>47.3</v>
      </c>
      <c r="K262">
        <v>10653.5</v>
      </c>
      <c r="L262" s="5">
        <v>0.91929276540000004</v>
      </c>
      <c r="M262">
        <v>935.3</v>
      </c>
      <c r="N262" s="5">
        <v>8.0707234569999994E-2</v>
      </c>
    </row>
    <row r="263" spans="1:14" x14ac:dyDescent="0.3">
      <c r="A263" t="s">
        <v>334</v>
      </c>
      <c r="B263" t="s">
        <v>15</v>
      </c>
      <c r="C263" t="s">
        <v>22</v>
      </c>
      <c r="D263" t="s">
        <v>17</v>
      </c>
      <c r="E263" t="s">
        <v>18</v>
      </c>
      <c r="F263" t="s">
        <v>19</v>
      </c>
      <c r="G263">
        <v>2006</v>
      </c>
      <c r="H263">
        <v>11575.2</v>
      </c>
      <c r="I263">
        <v>3209.4</v>
      </c>
      <c r="J263">
        <v>8365.7999999999993</v>
      </c>
      <c r="K263">
        <v>747.3</v>
      </c>
      <c r="L263" s="5">
        <v>6.4560439560000002E-2</v>
      </c>
      <c r="M263">
        <v>10827.9</v>
      </c>
      <c r="N263" s="5">
        <v>0.93543956039999998</v>
      </c>
    </row>
    <row r="264" spans="1:14" x14ac:dyDescent="0.3">
      <c r="A264" t="s">
        <v>335</v>
      </c>
      <c r="B264" t="s">
        <v>15</v>
      </c>
      <c r="C264" t="s">
        <v>336</v>
      </c>
      <c r="D264" t="s">
        <v>25</v>
      </c>
      <c r="E264" t="s">
        <v>26</v>
      </c>
      <c r="F264" t="s">
        <v>19</v>
      </c>
      <c r="G264">
        <v>2019</v>
      </c>
      <c r="H264">
        <v>11566.2</v>
      </c>
      <c r="I264">
        <v>7224.2</v>
      </c>
      <c r="J264">
        <v>4349.3999999999996</v>
      </c>
      <c r="K264">
        <v>4663</v>
      </c>
      <c r="L264" s="5">
        <v>0.40315747610000002</v>
      </c>
      <c r="M264">
        <v>6903.2</v>
      </c>
      <c r="N264" s="5">
        <v>0.59684252389999992</v>
      </c>
    </row>
    <row r="265" spans="1:14" x14ac:dyDescent="0.3">
      <c r="A265" t="s">
        <v>337</v>
      </c>
      <c r="B265" t="s">
        <v>15</v>
      </c>
      <c r="C265" t="s">
        <v>338</v>
      </c>
      <c r="D265" t="s">
        <v>17</v>
      </c>
      <c r="E265" t="s">
        <v>61</v>
      </c>
      <c r="F265" t="s">
        <v>19</v>
      </c>
      <c r="G265">
        <v>2010</v>
      </c>
      <c r="H265">
        <v>11481.4</v>
      </c>
      <c r="I265">
        <v>11486.5</v>
      </c>
      <c r="J265">
        <v>0</v>
      </c>
      <c r="K265">
        <v>235.7</v>
      </c>
      <c r="L265" s="5">
        <v>2.0528855369999998E-2</v>
      </c>
      <c r="M265">
        <v>11245.7</v>
      </c>
      <c r="N265" s="5">
        <v>0.97947114459999995</v>
      </c>
    </row>
    <row r="266" spans="1:14" x14ac:dyDescent="0.3">
      <c r="A266" t="s">
        <v>339</v>
      </c>
      <c r="B266" t="s">
        <v>79</v>
      </c>
      <c r="C266" t="s">
        <v>22</v>
      </c>
      <c r="D266" t="s">
        <v>17</v>
      </c>
      <c r="E266" t="s">
        <v>52</v>
      </c>
      <c r="F266" t="s">
        <v>49</v>
      </c>
      <c r="G266">
        <v>2005</v>
      </c>
      <c r="H266">
        <v>11480.4</v>
      </c>
      <c r="I266">
        <v>8241.1</v>
      </c>
      <c r="J266">
        <v>3243.6</v>
      </c>
      <c r="K266">
        <v>11420.3</v>
      </c>
      <c r="L266" s="5">
        <v>0.99476499079999992</v>
      </c>
      <c r="M266">
        <v>60.1</v>
      </c>
      <c r="N266" s="5">
        <v>5.235009233E-3</v>
      </c>
    </row>
    <row r="267" spans="1:14" x14ac:dyDescent="0.3">
      <c r="A267" t="s">
        <v>340</v>
      </c>
      <c r="B267" t="s">
        <v>15</v>
      </c>
      <c r="C267" t="s">
        <v>22</v>
      </c>
      <c r="D267" t="s">
        <v>17</v>
      </c>
      <c r="E267" t="s">
        <v>18</v>
      </c>
      <c r="F267" t="s">
        <v>19</v>
      </c>
      <c r="G267">
        <v>2012</v>
      </c>
      <c r="H267">
        <v>11475.1</v>
      </c>
      <c r="I267">
        <v>3956.3</v>
      </c>
      <c r="J267">
        <v>7518.7</v>
      </c>
      <c r="K267">
        <v>545.70000000000005</v>
      </c>
      <c r="L267" s="5">
        <v>4.7555141130000006E-2</v>
      </c>
      <c r="M267">
        <v>10929.4</v>
      </c>
      <c r="N267" s="5">
        <v>0.95244485890000008</v>
      </c>
    </row>
    <row r="268" spans="1:14" x14ac:dyDescent="0.3">
      <c r="A268" t="s">
        <v>341</v>
      </c>
      <c r="B268" t="s">
        <v>15</v>
      </c>
      <c r="C268" t="s">
        <v>60</v>
      </c>
      <c r="D268" t="s">
        <v>258</v>
      </c>
      <c r="E268" t="s">
        <v>18</v>
      </c>
      <c r="F268" t="s">
        <v>19</v>
      </c>
      <c r="G268">
        <v>2017</v>
      </c>
      <c r="H268">
        <v>11459.5</v>
      </c>
      <c r="I268">
        <v>7069.7</v>
      </c>
      <c r="J268">
        <v>4399.6000000000004</v>
      </c>
      <c r="K268">
        <v>5201.3999999999996</v>
      </c>
      <c r="L268" s="5">
        <v>0.45389414899999997</v>
      </c>
      <c r="M268">
        <v>6258.1</v>
      </c>
      <c r="N268" s="5">
        <v>0.54610585099999998</v>
      </c>
    </row>
    <row r="269" spans="1:14" x14ac:dyDescent="0.3">
      <c r="A269" t="s">
        <v>342</v>
      </c>
      <c r="B269" t="s">
        <v>15</v>
      </c>
      <c r="C269" t="s">
        <v>22</v>
      </c>
      <c r="D269" t="s">
        <v>17</v>
      </c>
      <c r="E269" t="s">
        <v>28</v>
      </c>
      <c r="F269" t="s">
        <v>19</v>
      </c>
      <c r="G269">
        <v>2006</v>
      </c>
      <c r="H269">
        <v>11428.5</v>
      </c>
      <c r="I269">
        <v>7562.2</v>
      </c>
      <c r="J269">
        <v>3868</v>
      </c>
      <c r="K269">
        <v>6108.9</v>
      </c>
      <c r="L269" s="5">
        <v>0.53453209079999997</v>
      </c>
      <c r="M269">
        <v>5319.6</v>
      </c>
      <c r="N269" s="5">
        <v>0.46546790919999997</v>
      </c>
    </row>
    <row r="270" spans="1:14" x14ac:dyDescent="0.3">
      <c r="A270" t="s">
        <v>343</v>
      </c>
      <c r="B270" t="s">
        <v>15</v>
      </c>
      <c r="C270" t="s">
        <v>22</v>
      </c>
      <c r="D270" t="s">
        <v>17</v>
      </c>
      <c r="E270" t="s">
        <v>52</v>
      </c>
      <c r="F270" t="s">
        <v>49</v>
      </c>
      <c r="G270">
        <v>1968</v>
      </c>
      <c r="H270">
        <v>11314.2</v>
      </c>
      <c r="I270">
        <v>11274.4</v>
      </c>
      <c r="J270">
        <v>44.7</v>
      </c>
      <c r="K270">
        <v>11264.9</v>
      </c>
      <c r="L270" s="5">
        <v>0.9956426438</v>
      </c>
      <c r="M270">
        <v>49.3</v>
      </c>
      <c r="N270" s="5">
        <v>4.3573562430000001E-3</v>
      </c>
    </row>
    <row r="271" spans="1:14" x14ac:dyDescent="0.3">
      <c r="A271" t="s">
        <v>344</v>
      </c>
      <c r="B271" t="s">
        <v>15</v>
      </c>
      <c r="C271" t="s">
        <v>22</v>
      </c>
      <c r="D271" t="s">
        <v>17</v>
      </c>
      <c r="E271" t="s">
        <v>28</v>
      </c>
      <c r="F271" t="s">
        <v>19</v>
      </c>
      <c r="G271">
        <v>2005</v>
      </c>
      <c r="H271">
        <v>11238.2</v>
      </c>
      <c r="I271">
        <v>4609.5</v>
      </c>
      <c r="J271">
        <v>6628.7</v>
      </c>
      <c r="K271">
        <v>839.9</v>
      </c>
      <c r="L271" s="5">
        <v>7.4736167709999995E-2</v>
      </c>
      <c r="M271">
        <v>10398.299999999999</v>
      </c>
      <c r="N271" s="5">
        <v>0.92526383229999998</v>
      </c>
    </row>
    <row r="272" spans="1:14" x14ac:dyDescent="0.3">
      <c r="A272" t="s">
        <v>345</v>
      </c>
      <c r="B272" t="s">
        <v>15</v>
      </c>
      <c r="C272" t="s">
        <v>46</v>
      </c>
      <c r="D272" t="s">
        <v>47</v>
      </c>
      <c r="E272" t="s">
        <v>48</v>
      </c>
      <c r="F272" t="s">
        <v>19</v>
      </c>
      <c r="G272">
        <v>2013</v>
      </c>
      <c r="H272">
        <v>11232.6</v>
      </c>
      <c r="I272">
        <v>9653.7999999999993</v>
      </c>
      <c r="J272">
        <v>1583.7</v>
      </c>
      <c r="K272">
        <v>4076.4</v>
      </c>
      <c r="L272" s="5">
        <v>0.3629079643</v>
      </c>
      <c r="M272">
        <v>7156.2</v>
      </c>
      <c r="N272" s="5">
        <v>0.63709203569999995</v>
      </c>
    </row>
    <row r="273" spans="1:14" x14ac:dyDescent="0.3">
      <c r="A273" t="s">
        <v>346</v>
      </c>
      <c r="B273" t="s">
        <v>15</v>
      </c>
      <c r="C273" t="s">
        <v>22</v>
      </c>
      <c r="D273" t="s">
        <v>17</v>
      </c>
      <c r="E273" t="s">
        <v>61</v>
      </c>
      <c r="F273" t="s">
        <v>19</v>
      </c>
      <c r="G273">
        <v>2010</v>
      </c>
      <c r="H273">
        <v>11198.8</v>
      </c>
      <c r="I273">
        <v>5328.3</v>
      </c>
      <c r="J273">
        <v>5873.2</v>
      </c>
      <c r="K273">
        <v>961.9</v>
      </c>
      <c r="L273" s="5">
        <v>8.5893131410000004E-2</v>
      </c>
      <c r="M273">
        <v>10236.9</v>
      </c>
      <c r="N273" s="5">
        <v>0.91410686860000001</v>
      </c>
    </row>
    <row r="274" spans="1:14" x14ac:dyDescent="0.3">
      <c r="A274" t="s">
        <v>347</v>
      </c>
      <c r="B274" t="s">
        <v>15</v>
      </c>
      <c r="C274" t="s">
        <v>22</v>
      </c>
      <c r="D274" t="s">
        <v>17</v>
      </c>
      <c r="E274" t="s">
        <v>18</v>
      </c>
      <c r="F274" t="s">
        <v>19</v>
      </c>
      <c r="G274">
        <v>2006</v>
      </c>
      <c r="H274">
        <v>11196</v>
      </c>
      <c r="I274">
        <v>10287.700000000001</v>
      </c>
      <c r="J274">
        <v>910.9</v>
      </c>
      <c r="K274">
        <v>656.6</v>
      </c>
      <c r="L274" s="5">
        <v>5.8645944979999996E-2</v>
      </c>
      <c r="M274">
        <v>10539.4</v>
      </c>
      <c r="N274" s="5">
        <v>0.94135405500000002</v>
      </c>
    </row>
    <row r="275" spans="1:14" x14ac:dyDescent="0.3">
      <c r="A275" t="s">
        <v>348</v>
      </c>
      <c r="B275" t="s">
        <v>15</v>
      </c>
      <c r="C275" t="s">
        <v>349</v>
      </c>
      <c r="D275" t="s">
        <v>17</v>
      </c>
      <c r="E275" t="s">
        <v>350</v>
      </c>
      <c r="F275" t="s">
        <v>19</v>
      </c>
      <c r="G275">
        <v>2011</v>
      </c>
      <c r="H275">
        <v>11149</v>
      </c>
      <c r="I275">
        <v>3260</v>
      </c>
      <c r="J275">
        <v>7882.2</v>
      </c>
      <c r="K275">
        <v>1292</v>
      </c>
      <c r="L275" s="5">
        <v>0.1158848327</v>
      </c>
      <c r="M275">
        <v>9857</v>
      </c>
      <c r="N275" s="5">
        <v>0.88411516730000006</v>
      </c>
    </row>
    <row r="276" spans="1:14" x14ac:dyDescent="0.3">
      <c r="A276" t="s">
        <v>351</v>
      </c>
      <c r="B276" t="s">
        <v>15</v>
      </c>
      <c r="C276" t="s">
        <v>34</v>
      </c>
      <c r="D276" t="s">
        <v>17</v>
      </c>
      <c r="E276" t="s">
        <v>52</v>
      </c>
      <c r="F276" t="s">
        <v>49</v>
      </c>
      <c r="G276">
        <v>1994</v>
      </c>
      <c r="H276">
        <v>11063.6</v>
      </c>
      <c r="I276">
        <v>11073.6</v>
      </c>
      <c r="J276">
        <v>0</v>
      </c>
      <c r="K276">
        <v>11061.4</v>
      </c>
      <c r="L276" s="5">
        <v>0.9998011497</v>
      </c>
      <c r="M276">
        <v>2.2000000000000002</v>
      </c>
      <c r="N276" s="5">
        <v>1.988502838E-4</v>
      </c>
    </row>
    <row r="277" spans="1:14" x14ac:dyDescent="0.3">
      <c r="A277" t="s">
        <v>352</v>
      </c>
      <c r="B277" t="s">
        <v>21</v>
      </c>
      <c r="C277" t="s">
        <v>22</v>
      </c>
      <c r="D277" t="s">
        <v>17</v>
      </c>
      <c r="E277" t="s">
        <v>23</v>
      </c>
      <c r="F277" t="s">
        <v>19</v>
      </c>
      <c r="G277">
        <v>1999</v>
      </c>
      <c r="H277">
        <v>11060.5</v>
      </c>
      <c r="I277">
        <v>6055.9</v>
      </c>
      <c r="J277">
        <v>5004.6000000000004</v>
      </c>
      <c r="K277">
        <v>4661.1000000000004</v>
      </c>
      <c r="L277" s="5">
        <v>0.42141856150000001</v>
      </c>
      <c r="M277">
        <v>6399.4</v>
      </c>
      <c r="N277" s="5">
        <v>0.57858143849999999</v>
      </c>
    </row>
    <row r="278" spans="1:14" x14ac:dyDescent="0.3">
      <c r="A278" t="s">
        <v>353</v>
      </c>
      <c r="B278" t="s">
        <v>15</v>
      </c>
      <c r="C278" t="s">
        <v>22</v>
      </c>
      <c r="D278" t="s">
        <v>17</v>
      </c>
      <c r="E278" t="s">
        <v>292</v>
      </c>
      <c r="F278" t="s">
        <v>49</v>
      </c>
      <c r="G278">
        <v>1999</v>
      </c>
      <c r="H278">
        <v>11051.4</v>
      </c>
      <c r="I278">
        <v>11056.2</v>
      </c>
      <c r="J278">
        <v>0</v>
      </c>
      <c r="K278">
        <v>11051.4</v>
      </c>
      <c r="L278" s="5">
        <v>1</v>
      </c>
      <c r="M278">
        <v>0</v>
      </c>
      <c r="N278" s="5">
        <v>0</v>
      </c>
    </row>
    <row r="279" spans="1:14" x14ac:dyDescent="0.3">
      <c r="A279" t="s">
        <v>354</v>
      </c>
      <c r="B279" t="s">
        <v>15</v>
      </c>
      <c r="C279" t="s">
        <v>72</v>
      </c>
      <c r="D279" t="s">
        <v>73</v>
      </c>
      <c r="E279" t="s">
        <v>74</v>
      </c>
      <c r="F279" t="s">
        <v>19</v>
      </c>
      <c r="G279">
        <v>2004</v>
      </c>
      <c r="H279">
        <v>11014.9</v>
      </c>
      <c r="I279">
        <v>5793.9</v>
      </c>
      <c r="J279">
        <v>5236.3</v>
      </c>
      <c r="K279">
        <v>0</v>
      </c>
      <c r="L279" s="5">
        <v>0</v>
      </c>
      <c r="M279">
        <v>11014.9</v>
      </c>
      <c r="N279" s="5">
        <v>1</v>
      </c>
    </row>
    <row r="280" spans="1:14" x14ac:dyDescent="0.3">
      <c r="A280" t="s">
        <v>355</v>
      </c>
      <c r="B280" t="s">
        <v>21</v>
      </c>
      <c r="C280" t="s">
        <v>34</v>
      </c>
      <c r="D280" t="s">
        <v>17</v>
      </c>
      <c r="E280" t="s">
        <v>23</v>
      </c>
      <c r="F280" t="s">
        <v>49</v>
      </c>
      <c r="G280">
        <v>2011</v>
      </c>
      <c r="H280">
        <v>10985.7</v>
      </c>
      <c r="I280">
        <v>0</v>
      </c>
      <c r="J280">
        <v>11024.9</v>
      </c>
      <c r="K280">
        <v>6916.9</v>
      </c>
      <c r="L280" s="5">
        <v>0.62962760680000007</v>
      </c>
      <c r="M280">
        <v>4068.8</v>
      </c>
      <c r="N280" s="5">
        <v>0.37037239319999998</v>
      </c>
    </row>
    <row r="281" spans="1:14" x14ac:dyDescent="0.3">
      <c r="A281" t="s">
        <v>356</v>
      </c>
      <c r="B281" t="s">
        <v>15</v>
      </c>
      <c r="C281" t="s">
        <v>43</v>
      </c>
      <c r="D281" t="s">
        <v>25</v>
      </c>
      <c r="E281" t="s">
        <v>26</v>
      </c>
      <c r="F281" t="s">
        <v>19</v>
      </c>
      <c r="G281">
        <v>2019</v>
      </c>
      <c r="H281">
        <v>10974</v>
      </c>
      <c r="I281">
        <v>9511.5</v>
      </c>
      <c r="J281">
        <v>1474.2</v>
      </c>
      <c r="K281">
        <v>3645.8</v>
      </c>
      <c r="L281" s="5">
        <v>0.33222161470000006</v>
      </c>
      <c r="M281">
        <v>7328.2</v>
      </c>
      <c r="N281" s="5">
        <v>0.6677783853</v>
      </c>
    </row>
    <row r="282" spans="1:14" x14ac:dyDescent="0.3">
      <c r="A282" t="s">
        <v>357</v>
      </c>
      <c r="B282" t="s">
        <v>15</v>
      </c>
      <c r="C282" t="s">
        <v>22</v>
      </c>
      <c r="D282" t="s">
        <v>17</v>
      </c>
      <c r="E282" t="s">
        <v>18</v>
      </c>
      <c r="F282" t="s">
        <v>19</v>
      </c>
      <c r="G282">
        <v>1993</v>
      </c>
      <c r="H282">
        <v>10968.8</v>
      </c>
      <c r="I282">
        <v>5006.3999999999996</v>
      </c>
      <c r="J282">
        <v>5977.1</v>
      </c>
      <c r="K282">
        <v>7034.7</v>
      </c>
      <c r="L282" s="5">
        <v>0.64133724749999999</v>
      </c>
      <c r="M282">
        <v>3934.1</v>
      </c>
      <c r="N282" s="5">
        <v>0.35866275250000001</v>
      </c>
    </row>
    <row r="283" spans="1:14" x14ac:dyDescent="0.3">
      <c r="A283" t="s">
        <v>358</v>
      </c>
      <c r="B283" t="s">
        <v>21</v>
      </c>
      <c r="C283" t="s">
        <v>246</v>
      </c>
      <c r="D283" t="s">
        <v>17</v>
      </c>
      <c r="E283" t="s">
        <v>58</v>
      </c>
      <c r="F283" t="s">
        <v>19</v>
      </c>
      <c r="G283">
        <v>2012</v>
      </c>
      <c r="H283">
        <v>10939.4</v>
      </c>
      <c r="I283">
        <v>9358.7999999999993</v>
      </c>
      <c r="J283">
        <v>1614.9</v>
      </c>
      <c r="K283">
        <v>10795.1</v>
      </c>
      <c r="L283" s="5">
        <v>0.98680914860000002</v>
      </c>
      <c r="M283">
        <v>144.30000000000001</v>
      </c>
      <c r="N283" s="5">
        <v>1.319085142E-2</v>
      </c>
    </row>
    <row r="284" spans="1:14" x14ac:dyDescent="0.3">
      <c r="A284" t="s">
        <v>359</v>
      </c>
      <c r="B284" t="s">
        <v>15</v>
      </c>
      <c r="C284" t="s">
        <v>22</v>
      </c>
      <c r="D284" t="s">
        <v>25</v>
      </c>
      <c r="E284" t="s">
        <v>26</v>
      </c>
      <c r="F284" t="s">
        <v>19</v>
      </c>
      <c r="G284">
        <v>2006</v>
      </c>
      <c r="H284">
        <v>10933.4</v>
      </c>
      <c r="I284">
        <v>10905.7</v>
      </c>
      <c r="J284">
        <v>38</v>
      </c>
      <c r="K284">
        <v>8.1</v>
      </c>
      <c r="L284" s="5">
        <v>7.4084914119999996E-4</v>
      </c>
      <c r="M284">
        <v>10925.3</v>
      </c>
      <c r="N284" s="5">
        <v>0.99925915090000006</v>
      </c>
    </row>
    <row r="285" spans="1:14" x14ac:dyDescent="0.3">
      <c r="A285" t="s">
        <v>360</v>
      </c>
      <c r="B285" t="s">
        <v>15</v>
      </c>
      <c r="C285" t="s">
        <v>167</v>
      </c>
      <c r="D285" t="s">
        <v>168</v>
      </c>
      <c r="E285" t="s">
        <v>169</v>
      </c>
      <c r="F285" t="s">
        <v>49</v>
      </c>
      <c r="G285">
        <v>2011</v>
      </c>
      <c r="H285">
        <v>10914.2</v>
      </c>
      <c r="I285">
        <v>9203.4</v>
      </c>
      <c r="J285">
        <v>1721.9</v>
      </c>
      <c r="K285">
        <v>8573.2000000000007</v>
      </c>
      <c r="L285" s="5">
        <v>0.78550878670000002</v>
      </c>
      <c r="M285">
        <v>2341</v>
      </c>
      <c r="N285" s="5">
        <v>0.21449121330000001</v>
      </c>
    </row>
    <row r="286" spans="1:14" x14ac:dyDescent="0.3">
      <c r="A286" t="s">
        <v>361</v>
      </c>
      <c r="B286" t="s">
        <v>15</v>
      </c>
      <c r="C286" t="s">
        <v>129</v>
      </c>
      <c r="D286" t="s">
        <v>130</v>
      </c>
      <c r="E286" t="s">
        <v>292</v>
      </c>
      <c r="F286" t="s">
        <v>49</v>
      </c>
      <c r="G286">
        <v>1995</v>
      </c>
      <c r="H286">
        <v>10902.6</v>
      </c>
      <c r="I286">
        <v>10910.3</v>
      </c>
      <c r="J286">
        <v>0</v>
      </c>
      <c r="K286">
        <v>10773.4</v>
      </c>
      <c r="L286" s="5">
        <v>0.98814961569999993</v>
      </c>
      <c r="M286">
        <v>129.19999999999999</v>
      </c>
      <c r="N286" s="5">
        <v>1.185038431E-2</v>
      </c>
    </row>
    <row r="287" spans="1:14" x14ac:dyDescent="0.3">
      <c r="A287" t="s">
        <v>362</v>
      </c>
      <c r="B287" t="s">
        <v>15</v>
      </c>
      <c r="C287" t="s">
        <v>34</v>
      </c>
      <c r="D287" t="s">
        <v>17</v>
      </c>
      <c r="E287" t="s">
        <v>23</v>
      </c>
      <c r="F287" t="s">
        <v>19</v>
      </c>
      <c r="G287">
        <v>2010</v>
      </c>
      <c r="H287">
        <v>10783.2</v>
      </c>
      <c r="I287">
        <v>7412.3</v>
      </c>
      <c r="J287">
        <v>3373.2</v>
      </c>
      <c r="K287">
        <v>5819.8</v>
      </c>
      <c r="L287" s="5">
        <v>0.53970991909999999</v>
      </c>
      <c r="M287">
        <v>4963.3999999999996</v>
      </c>
      <c r="N287" s="5">
        <v>0.46029008089999995</v>
      </c>
    </row>
    <row r="288" spans="1:14" x14ac:dyDescent="0.3">
      <c r="A288" t="s">
        <v>363</v>
      </c>
      <c r="B288" t="s">
        <v>15</v>
      </c>
      <c r="C288" t="s">
        <v>22</v>
      </c>
      <c r="D288" t="s">
        <v>25</v>
      </c>
      <c r="E288" t="s">
        <v>26</v>
      </c>
      <c r="F288" t="s">
        <v>19</v>
      </c>
      <c r="G288">
        <v>1999</v>
      </c>
      <c r="H288">
        <v>10776.2</v>
      </c>
      <c r="I288">
        <v>10712.5</v>
      </c>
      <c r="J288">
        <v>63.9</v>
      </c>
      <c r="K288">
        <v>291.89999999999998</v>
      </c>
      <c r="L288" s="5">
        <v>2.7087470539999998E-2</v>
      </c>
      <c r="M288">
        <v>10484.299999999999</v>
      </c>
      <c r="N288" s="5">
        <v>0.97291252949999996</v>
      </c>
    </row>
    <row r="289" spans="1:14" x14ac:dyDescent="0.3">
      <c r="A289" t="s">
        <v>364</v>
      </c>
      <c r="B289" t="s">
        <v>15</v>
      </c>
      <c r="C289" t="s">
        <v>22</v>
      </c>
      <c r="D289" t="s">
        <v>25</v>
      </c>
      <c r="E289" t="s">
        <v>26</v>
      </c>
      <c r="F289" t="s">
        <v>19</v>
      </c>
      <c r="G289">
        <v>2010</v>
      </c>
      <c r="H289">
        <v>10772</v>
      </c>
      <c r="I289">
        <v>595.6</v>
      </c>
      <c r="J289">
        <v>10180.6</v>
      </c>
      <c r="K289">
        <v>689.2</v>
      </c>
      <c r="L289" s="5">
        <v>6.3980690679999994E-2</v>
      </c>
      <c r="M289">
        <v>10082.799999999999</v>
      </c>
      <c r="N289" s="5">
        <v>0.93601930929999999</v>
      </c>
    </row>
    <row r="290" spans="1:14" x14ac:dyDescent="0.3">
      <c r="A290" t="s">
        <v>365</v>
      </c>
      <c r="B290" t="s">
        <v>15</v>
      </c>
      <c r="C290" t="s">
        <v>22</v>
      </c>
      <c r="D290" t="s">
        <v>17</v>
      </c>
      <c r="E290" t="s">
        <v>52</v>
      </c>
      <c r="F290" t="s">
        <v>49</v>
      </c>
      <c r="G290">
        <v>1984</v>
      </c>
      <c r="H290">
        <v>10771.3</v>
      </c>
      <c r="I290">
        <v>10772.2</v>
      </c>
      <c r="J290">
        <v>0.6</v>
      </c>
      <c r="K290">
        <v>10575.9</v>
      </c>
      <c r="L290" s="5">
        <v>0.98185919990000003</v>
      </c>
      <c r="M290">
        <v>195.4</v>
      </c>
      <c r="N290" s="5">
        <v>1.8140800089999999E-2</v>
      </c>
    </row>
    <row r="291" spans="1:14" x14ac:dyDescent="0.3">
      <c r="A291" t="s">
        <v>366</v>
      </c>
      <c r="B291" t="s">
        <v>15</v>
      </c>
      <c r="C291" t="s">
        <v>22</v>
      </c>
      <c r="D291" t="s">
        <v>17</v>
      </c>
      <c r="E291" t="s">
        <v>52</v>
      </c>
      <c r="F291" t="s">
        <v>49</v>
      </c>
      <c r="G291">
        <v>2004</v>
      </c>
      <c r="H291">
        <v>10767.6</v>
      </c>
      <c r="I291">
        <v>1893.8</v>
      </c>
      <c r="J291">
        <v>8878.2000000000007</v>
      </c>
      <c r="K291">
        <v>10569.4</v>
      </c>
      <c r="L291" s="5">
        <v>0.9815929269</v>
      </c>
      <c r="M291">
        <v>198.2</v>
      </c>
      <c r="N291" s="5">
        <v>1.8407073069999998E-2</v>
      </c>
    </row>
    <row r="292" spans="1:14" x14ac:dyDescent="0.3">
      <c r="A292" t="s">
        <v>367</v>
      </c>
      <c r="B292" t="s">
        <v>15</v>
      </c>
      <c r="C292" t="s">
        <v>22</v>
      </c>
      <c r="D292" t="s">
        <v>17</v>
      </c>
      <c r="E292" t="s">
        <v>52</v>
      </c>
      <c r="F292" t="s">
        <v>49</v>
      </c>
      <c r="G292">
        <v>1995</v>
      </c>
      <c r="H292">
        <v>10760.4</v>
      </c>
      <c r="I292">
        <v>10630.4</v>
      </c>
      <c r="J292">
        <v>133.80000000000001</v>
      </c>
      <c r="K292">
        <v>10584.7</v>
      </c>
      <c r="L292" s="5">
        <v>0.98367161069999998</v>
      </c>
      <c r="M292">
        <v>175.7</v>
      </c>
      <c r="N292" s="5">
        <v>1.6328389280000001E-2</v>
      </c>
    </row>
    <row r="293" spans="1:14" x14ac:dyDescent="0.3">
      <c r="A293" t="s">
        <v>368</v>
      </c>
      <c r="B293" t="s">
        <v>21</v>
      </c>
      <c r="C293" t="s">
        <v>22</v>
      </c>
      <c r="D293" t="s">
        <v>17</v>
      </c>
      <c r="E293" t="s">
        <v>28</v>
      </c>
      <c r="F293" t="s">
        <v>19</v>
      </c>
      <c r="G293">
        <v>2018</v>
      </c>
      <c r="H293">
        <v>10756.4</v>
      </c>
      <c r="I293">
        <v>7776.1</v>
      </c>
      <c r="J293">
        <v>2980.3</v>
      </c>
      <c r="K293">
        <v>3834.9</v>
      </c>
      <c r="L293" s="5">
        <v>0.35652262839999999</v>
      </c>
      <c r="M293">
        <v>6921.5</v>
      </c>
      <c r="N293" s="5">
        <v>0.64347737159999996</v>
      </c>
    </row>
    <row r="294" spans="1:14" x14ac:dyDescent="0.3">
      <c r="A294" t="s">
        <v>369</v>
      </c>
      <c r="B294" t="s">
        <v>21</v>
      </c>
      <c r="C294" t="s">
        <v>22</v>
      </c>
      <c r="D294" t="s">
        <v>17</v>
      </c>
      <c r="E294" t="s">
        <v>28</v>
      </c>
      <c r="F294" t="s">
        <v>19</v>
      </c>
      <c r="G294">
        <v>2002</v>
      </c>
      <c r="H294">
        <v>10731.7</v>
      </c>
      <c r="I294">
        <v>6224.9</v>
      </c>
      <c r="J294">
        <v>4506.8</v>
      </c>
      <c r="K294">
        <v>3239.2</v>
      </c>
      <c r="L294" s="5">
        <v>0.30183475130000004</v>
      </c>
      <c r="M294">
        <v>7492.5</v>
      </c>
      <c r="N294" s="5">
        <v>0.69816524869999996</v>
      </c>
    </row>
    <row r="295" spans="1:14" x14ac:dyDescent="0.3">
      <c r="A295" t="s">
        <v>370</v>
      </c>
      <c r="B295" t="s">
        <v>21</v>
      </c>
      <c r="C295" t="s">
        <v>22</v>
      </c>
      <c r="D295" t="s">
        <v>17</v>
      </c>
      <c r="E295" t="s">
        <v>28</v>
      </c>
      <c r="F295" t="s">
        <v>19</v>
      </c>
      <c r="G295">
        <v>2014</v>
      </c>
      <c r="H295">
        <v>10712.8</v>
      </c>
      <c r="I295">
        <v>6060.2</v>
      </c>
      <c r="J295">
        <v>4663.3999999999996</v>
      </c>
      <c r="K295">
        <v>4257.3999999999996</v>
      </c>
      <c r="L295" s="5">
        <v>0.39741244119999997</v>
      </c>
      <c r="M295">
        <v>6455.4</v>
      </c>
      <c r="N295" s="5">
        <v>0.60258755880000003</v>
      </c>
    </row>
    <row r="296" spans="1:14" x14ac:dyDescent="0.3">
      <c r="A296" t="s">
        <v>371</v>
      </c>
      <c r="B296" t="s">
        <v>79</v>
      </c>
      <c r="C296" t="s">
        <v>34</v>
      </c>
      <c r="D296" t="s">
        <v>17</v>
      </c>
      <c r="E296" t="s">
        <v>23</v>
      </c>
      <c r="F296" t="s">
        <v>49</v>
      </c>
      <c r="G296">
        <v>2012</v>
      </c>
      <c r="H296">
        <v>10711.2</v>
      </c>
      <c r="I296">
        <v>10381.4</v>
      </c>
      <c r="J296">
        <v>333.5</v>
      </c>
      <c r="K296">
        <v>73.400000000000006</v>
      </c>
      <c r="L296" s="5">
        <v>6.8526402269999996E-3</v>
      </c>
      <c r="M296">
        <v>10637.8</v>
      </c>
      <c r="N296" s="5">
        <v>0.99314735979999991</v>
      </c>
    </row>
    <row r="297" spans="1:14" x14ac:dyDescent="0.3">
      <c r="A297" t="s">
        <v>372</v>
      </c>
      <c r="B297" t="s">
        <v>15</v>
      </c>
      <c r="C297" t="s">
        <v>34</v>
      </c>
      <c r="D297" t="s">
        <v>17</v>
      </c>
      <c r="E297" t="s">
        <v>52</v>
      </c>
      <c r="F297" t="s">
        <v>19</v>
      </c>
      <c r="G297">
        <v>1967</v>
      </c>
      <c r="H297">
        <v>10696.6</v>
      </c>
      <c r="I297">
        <v>8379.6</v>
      </c>
      <c r="J297">
        <v>2317</v>
      </c>
      <c r="K297">
        <v>8204.5</v>
      </c>
      <c r="L297" s="5">
        <v>0.7670194266999999</v>
      </c>
      <c r="M297">
        <v>2492.1</v>
      </c>
      <c r="N297" s="5">
        <v>0.23298057329999999</v>
      </c>
    </row>
    <row r="298" spans="1:14" x14ac:dyDescent="0.3">
      <c r="A298" t="s">
        <v>373</v>
      </c>
      <c r="B298" t="s">
        <v>15</v>
      </c>
      <c r="C298" t="s">
        <v>205</v>
      </c>
      <c r="D298" t="s">
        <v>17</v>
      </c>
      <c r="E298" t="s">
        <v>52</v>
      </c>
      <c r="F298" t="s">
        <v>49</v>
      </c>
      <c r="G298">
        <v>1979</v>
      </c>
      <c r="H298">
        <v>10616.1</v>
      </c>
      <c r="I298">
        <v>10020.5</v>
      </c>
      <c r="J298">
        <v>599.29999999999995</v>
      </c>
      <c r="K298">
        <v>9771.2999999999993</v>
      </c>
      <c r="L298" s="5">
        <v>0.92042275410000007</v>
      </c>
      <c r="M298">
        <v>844.8</v>
      </c>
      <c r="N298" s="5">
        <v>7.9577245879999994E-2</v>
      </c>
    </row>
    <row r="299" spans="1:14" x14ac:dyDescent="0.3">
      <c r="A299" t="s">
        <v>374</v>
      </c>
      <c r="B299" t="s">
        <v>15</v>
      </c>
      <c r="C299" t="s">
        <v>22</v>
      </c>
      <c r="D299" t="s">
        <v>25</v>
      </c>
      <c r="E299" t="s">
        <v>152</v>
      </c>
      <c r="F299" t="s">
        <v>49</v>
      </c>
      <c r="G299">
        <v>1996</v>
      </c>
      <c r="H299">
        <v>10607</v>
      </c>
      <c r="I299">
        <v>10520.3</v>
      </c>
      <c r="J299">
        <v>92.7</v>
      </c>
      <c r="K299">
        <v>8371.2999999999993</v>
      </c>
      <c r="L299" s="5">
        <v>0.78922409729999998</v>
      </c>
      <c r="M299">
        <v>2235.6999999999998</v>
      </c>
      <c r="N299" s="5">
        <v>0.21077590270000002</v>
      </c>
    </row>
    <row r="300" spans="1:14" x14ac:dyDescent="0.3">
      <c r="A300" t="s">
        <v>375</v>
      </c>
      <c r="B300" t="s">
        <v>15</v>
      </c>
      <c r="C300" t="s">
        <v>22</v>
      </c>
      <c r="D300" t="s">
        <v>17</v>
      </c>
      <c r="E300" t="s">
        <v>52</v>
      </c>
      <c r="F300" t="s">
        <v>49</v>
      </c>
      <c r="G300">
        <v>1994</v>
      </c>
      <c r="H300">
        <v>10571.1</v>
      </c>
      <c r="I300">
        <v>10570.2</v>
      </c>
      <c r="J300">
        <v>4.5</v>
      </c>
      <c r="K300">
        <v>10555.6</v>
      </c>
      <c r="L300" s="5">
        <v>0.99853373820000002</v>
      </c>
      <c r="M300">
        <v>15.5</v>
      </c>
      <c r="N300" s="5">
        <v>1.4662617889999998E-3</v>
      </c>
    </row>
    <row r="301" spans="1:14" x14ac:dyDescent="0.3">
      <c r="A301" t="s">
        <v>376</v>
      </c>
      <c r="B301" t="s">
        <v>15</v>
      </c>
      <c r="C301" t="s">
        <v>34</v>
      </c>
      <c r="D301" t="s">
        <v>17</v>
      </c>
      <c r="E301" t="s">
        <v>52</v>
      </c>
      <c r="F301" t="s">
        <v>49</v>
      </c>
      <c r="G301">
        <v>2012</v>
      </c>
      <c r="H301">
        <v>10489.6</v>
      </c>
      <c r="I301">
        <v>10191.700000000001</v>
      </c>
      <c r="J301">
        <v>301.5</v>
      </c>
      <c r="K301">
        <v>10165.9</v>
      </c>
      <c r="L301" s="5">
        <v>0.96914086330000004</v>
      </c>
      <c r="M301">
        <v>323.7</v>
      </c>
      <c r="N301" s="5">
        <v>3.0859136669999999E-2</v>
      </c>
    </row>
    <row r="302" spans="1:14" x14ac:dyDescent="0.3">
      <c r="A302" t="s">
        <v>377</v>
      </c>
      <c r="B302" t="s">
        <v>21</v>
      </c>
      <c r="C302" t="s">
        <v>223</v>
      </c>
      <c r="D302" t="s">
        <v>25</v>
      </c>
      <c r="E302" t="s">
        <v>83</v>
      </c>
      <c r="F302" t="s">
        <v>19</v>
      </c>
      <c r="G302">
        <v>2019</v>
      </c>
      <c r="H302">
        <v>10476.9</v>
      </c>
      <c r="I302">
        <v>3977.8</v>
      </c>
      <c r="J302">
        <v>6499.1</v>
      </c>
      <c r="K302">
        <v>2597.3000000000002</v>
      </c>
      <c r="L302" s="5">
        <v>0.24790730080000001</v>
      </c>
      <c r="M302">
        <v>7879.6</v>
      </c>
      <c r="N302" s="5">
        <v>0.75209269919999999</v>
      </c>
    </row>
    <row r="303" spans="1:14" x14ac:dyDescent="0.3">
      <c r="A303" t="s">
        <v>378</v>
      </c>
      <c r="B303" t="s">
        <v>15</v>
      </c>
      <c r="C303" t="s">
        <v>34</v>
      </c>
      <c r="D303" t="s">
        <v>17</v>
      </c>
      <c r="E303" t="s">
        <v>18</v>
      </c>
      <c r="F303" t="s">
        <v>19</v>
      </c>
      <c r="G303">
        <v>2006</v>
      </c>
      <c r="H303">
        <v>10449</v>
      </c>
      <c r="I303">
        <v>7062.7</v>
      </c>
      <c r="J303">
        <v>3394.7</v>
      </c>
      <c r="K303">
        <v>6337.8</v>
      </c>
      <c r="L303" s="5">
        <v>0.60654608099999996</v>
      </c>
      <c r="M303">
        <v>4111.2</v>
      </c>
      <c r="N303" s="5">
        <v>0.39345391900000004</v>
      </c>
    </row>
    <row r="304" spans="1:14" x14ac:dyDescent="0.3">
      <c r="A304" t="s">
        <v>379</v>
      </c>
      <c r="B304" t="s">
        <v>15</v>
      </c>
      <c r="C304" t="s">
        <v>22</v>
      </c>
      <c r="D304" t="s">
        <v>17</v>
      </c>
      <c r="E304" t="s">
        <v>28</v>
      </c>
      <c r="F304" t="s">
        <v>19</v>
      </c>
      <c r="G304">
        <v>2015</v>
      </c>
      <c r="H304">
        <v>10368.700000000001</v>
      </c>
      <c r="I304">
        <v>9179.2000000000007</v>
      </c>
      <c r="J304">
        <v>1201.2</v>
      </c>
      <c r="K304">
        <v>8970.6</v>
      </c>
      <c r="L304" s="5">
        <v>0.86516149570000001</v>
      </c>
      <c r="M304">
        <v>1398.1</v>
      </c>
      <c r="N304" s="5">
        <v>0.13483850429999999</v>
      </c>
    </row>
    <row r="305" spans="1:14" x14ac:dyDescent="0.3">
      <c r="A305" t="s">
        <v>380</v>
      </c>
      <c r="B305" t="s">
        <v>15</v>
      </c>
      <c r="C305" t="s">
        <v>22</v>
      </c>
      <c r="D305" t="s">
        <v>25</v>
      </c>
      <c r="E305" t="s">
        <v>26</v>
      </c>
      <c r="F305" t="s">
        <v>19</v>
      </c>
      <c r="G305">
        <v>2004</v>
      </c>
      <c r="H305">
        <v>10352.799999999999</v>
      </c>
      <c r="I305">
        <v>1937.7</v>
      </c>
      <c r="J305">
        <v>8415.1</v>
      </c>
      <c r="K305">
        <v>410.2</v>
      </c>
      <c r="L305" s="5">
        <v>3.9622131210000001E-2</v>
      </c>
      <c r="M305">
        <v>9942.6</v>
      </c>
      <c r="N305" s="5">
        <v>0.96037786879999998</v>
      </c>
    </row>
    <row r="306" spans="1:14" x14ac:dyDescent="0.3">
      <c r="A306" t="s">
        <v>381</v>
      </c>
      <c r="B306" t="s">
        <v>15</v>
      </c>
      <c r="C306" t="s">
        <v>382</v>
      </c>
      <c r="D306" t="s">
        <v>17</v>
      </c>
      <c r="E306" t="s">
        <v>23</v>
      </c>
      <c r="F306" t="s">
        <v>19</v>
      </c>
      <c r="G306">
        <v>2006</v>
      </c>
      <c r="H306">
        <v>10332.799999999999</v>
      </c>
      <c r="I306">
        <v>7323</v>
      </c>
      <c r="J306">
        <v>3009.8</v>
      </c>
      <c r="K306">
        <v>6153.5</v>
      </c>
      <c r="L306" s="5">
        <v>0.59553073710000004</v>
      </c>
      <c r="M306">
        <v>4179.3</v>
      </c>
      <c r="N306" s="5">
        <v>0.40446926290000002</v>
      </c>
    </row>
    <row r="307" spans="1:14" x14ac:dyDescent="0.3">
      <c r="A307" t="s">
        <v>383</v>
      </c>
      <c r="B307" t="s">
        <v>15</v>
      </c>
      <c r="C307" t="s">
        <v>22</v>
      </c>
      <c r="D307" t="s">
        <v>17</v>
      </c>
      <c r="E307" t="s">
        <v>23</v>
      </c>
      <c r="F307" t="s">
        <v>19</v>
      </c>
      <c r="G307">
        <v>2017</v>
      </c>
      <c r="H307">
        <v>10313.5</v>
      </c>
      <c r="I307">
        <v>10145.1</v>
      </c>
      <c r="J307">
        <v>172</v>
      </c>
      <c r="K307">
        <v>10141.5</v>
      </c>
      <c r="L307" s="5">
        <v>0.98332282930000003</v>
      </c>
      <c r="M307">
        <v>172</v>
      </c>
      <c r="N307" s="5">
        <v>1.6677170700000001E-2</v>
      </c>
    </row>
    <row r="308" spans="1:14" x14ac:dyDescent="0.3">
      <c r="A308" t="s">
        <v>384</v>
      </c>
      <c r="B308" t="s">
        <v>15</v>
      </c>
      <c r="C308" t="s">
        <v>22</v>
      </c>
      <c r="D308" t="s">
        <v>17</v>
      </c>
      <c r="E308" t="s">
        <v>18</v>
      </c>
      <c r="F308" t="s">
        <v>19</v>
      </c>
      <c r="G308">
        <v>1999</v>
      </c>
      <c r="H308">
        <v>10293</v>
      </c>
      <c r="I308">
        <v>6016.2</v>
      </c>
      <c r="J308">
        <v>4284.3</v>
      </c>
      <c r="K308">
        <v>745.9</v>
      </c>
      <c r="L308" s="5">
        <v>7.2466724960000006E-2</v>
      </c>
      <c r="M308">
        <v>9547.1</v>
      </c>
      <c r="N308" s="5">
        <v>0.92753327499999993</v>
      </c>
    </row>
    <row r="309" spans="1:14" x14ac:dyDescent="0.3">
      <c r="A309" t="s">
        <v>385</v>
      </c>
      <c r="B309" t="s">
        <v>15</v>
      </c>
      <c r="C309" t="s">
        <v>349</v>
      </c>
      <c r="D309" t="s">
        <v>17</v>
      </c>
      <c r="E309" t="s">
        <v>350</v>
      </c>
      <c r="F309" t="s">
        <v>19</v>
      </c>
      <c r="G309">
        <v>2012</v>
      </c>
      <c r="H309">
        <v>10290.6</v>
      </c>
      <c r="I309">
        <v>2289.1999999999998</v>
      </c>
      <c r="J309">
        <v>8003.8</v>
      </c>
      <c r="K309">
        <v>4395.8</v>
      </c>
      <c r="L309" s="5">
        <v>0.42716654030000001</v>
      </c>
      <c r="M309">
        <v>5894.8</v>
      </c>
      <c r="N309" s="5">
        <v>0.57283345969999999</v>
      </c>
    </row>
    <row r="310" spans="1:14" x14ac:dyDescent="0.3">
      <c r="A310" t="s">
        <v>386</v>
      </c>
      <c r="B310" t="s">
        <v>15</v>
      </c>
      <c r="C310" t="s">
        <v>387</v>
      </c>
      <c r="D310" t="s">
        <v>25</v>
      </c>
      <c r="E310" t="s">
        <v>83</v>
      </c>
      <c r="F310" t="s">
        <v>19</v>
      </c>
      <c r="G310">
        <v>2009</v>
      </c>
      <c r="H310">
        <v>10234.299999999999</v>
      </c>
      <c r="I310">
        <v>8102.5</v>
      </c>
      <c r="J310">
        <v>2138.3000000000002</v>
      </c>
      <c r="K310">
        <v>6955</v>
      </c>
      <c r="L310" s="5">
        <v>0.67957749919999999</v>
      </c>
      <c r="M310">
        <v>3279.3</v>
      </c>
      <c r="N310" s="5">
        <v>0.32042250080000001</v>
      </c>
    </row>
    <row r="311" spans="1:14" x14ac:dyDescent="0.3">
      <c r="A311" t="s">
        <v>388</v>
      </c>
      <c r="B311" t="s">
        <v>15</v>
      </c>
      <c r="C311" t="s">
        <v>22</v>
      </c>
      <c r="D311" t="s">
        <v>17</v>
      </c>
      <c r="E311" t="s">
        <v>18</v>
      </c>
      <c r="F311" t="s">
        <v>19</v>
      </c>
      <c r="G311">
        <v>2003</v>
      </c>
      <c r="H311">
        <v>10231.200000000001</v>
      </c>
      <c r="I311">
        <v>7551.1</v>
      </c>
      <c r="J311">
        <v>2685</v>
      </c>
      <c r="K311">
        <v>2118.4</v>
      </c>
      <c r="L311" s="5">
        <v>0.20705293609999997</v>
      </c>
      <c r="M311">
        <v>8112.8</v>
      </c>
      <c r="N311" s="5">
        <v>0.79294706390000003</v>
      </c>
    </row>
    <row r="312" spans="1:14" x14ac:dyDescent="0.3">
      <c r="A312" t="s">
        <v>389</v>
      </c>
      <c r="B312" t="s">
        <v>15</v>
      </c>
      <c r="C312" t="s">
        <v>22</v>
      </c>
      <c r="D312" t="s">
        <v>17</v>
      </c>
      <c r="E312" t="s">
        <v>52</v>
      </c>
      <c r="F312" t="s">
        <v>49</v>
      </c>
      <c r="G312">
        <v>2002</v>
      </c>
      <c r="H312">
        <v>10180.200000000001</v>
      </c>
      <c r="I312">
        <v>10185.799999999999</v>
      </c>
      <c r="J312">
        <v>0</v>
      </c>
      <c r="K312">
        <v>10132.799999999999</v>
      </c>
      <c r="L312" s="5">
        <v>0.99534390290000008</v>
      </c>
      <c r="M312">
        <v>47.4</v>
      </c>
      <c r="N312" s="5">
        <v>4.65609713E-3</v>
      </c>
    </row>
    <row r="313" spans="1:14" x14ac:dyDescent="0.3">
      <c r="A313" t="s">
        <v>390</v>
      </c>
      <c r="B313" t="s">
        <v>21</v>
      </c>
      <c r="C313" t="s">
        <v>16</v>
      </c>
      <c r="D313" t="s">
        <v>17</v>
      </c>
      <c r="E313" t="s">
        <v>23</v>
      </c>
      <c r="F313" t="s">
        <v>19</v>
      </c>
      <c r="G313">
        <v>2015</v>
      </c>
      <c r="H313">
        <v>10179.299999999999</v>
      </c>
      <c r="I313">
        <v>6431.1</v>
      </c>
      <c r="J313">
        <v>3750.4</v>
      </c>
      <c r="K313">
        <v>5420.2</v>
      </c>
      <c r="L313" s="5">
        <v>0.53247276339999994</v>
      </c>
      <c r="M313">
        <v>4759.1000000000004</v>
      </c>
      <c r="N313" s="5">
        <v>0.46752723660000001</v>
      </c>
    </row>
    <row r="314" spans="1:14" x14ac:dyDescent="0.3">
      <c r="A314" t="s">
        <v>391</v>
      </c>
      <c r="B314" t="s">
        <v>15</v>
      </c>
      <c r="C314" t="s">
        <v>72</v>
      </c>
      <c r="D314" t="s">
        <v>73</v>
      </c>
      <c r="E314" t="s">
        <v>74</v>
      </c>
      <c r="F314" t="s">
        <v>49</v>
      </c>
      <c r="G314">
        <v>1999</v>
      </c>
      <c r="H314">
        <v>10165</v>
      </c>
      <c r="I314">
        <v>8858.9</v>
      </c>
      <c r="J314">
        <v>1312.6</v>
      </c>
      <c r="K314">
        <v>6.7</v>
      </c>
      <c r="L314" s="5">
        <v>6.5912444660000001E-4</v>
      </c>
      <c r="M314">
        <v>10158.299999999999</v>
      </c>
      <c r="N314" s="5">
        <v>0.99934087559999996</v>
      </c>
    </row>
    <row r="315" spans="1:14" x14ac:dyDescent="0.3">
      <c r="A315" t="s">
        <v>392</v>
      </c>
      <c r="B315" t="s">
        <v>15</v>
      </c>
      <c r="C315" t="s">
        <v>223</v>
      </c>
      <c r="D315" t="s">
        <v>25</v>
      </c>
      <c r="E315" t="s">
        <v>18</v>
      </c>
      <c r="F315" t="s">
        <v>19</v>
      </c>
      <c r="G315">
        <v>2017</v>
      </c>
      <c r="H315">
        <v>10160.5</v>
      </c>
      <c r="I315">
        <v>8082</v>
      </c>
      <c r="J315">
        <v>2081.6999999999998</v>
      </c>
      <c r="K315">
        <v>6415.1</v>
      </c>
      <c r="L315" s="5">
        <v>0.63137640859999999</v>
      </c>
      <c r="M315">
        <v>3745.4</v>
      </c>
      <c r="N315" s="5">
        <v>0.36862359140000001</v>
      </c>
    </row>
    <row r="316" spans="1:14" x14ac:dyDescent="0.3">
      <c r="A316" t="s">
        <v>595</v>
      </c>
      <c r="B316" t="s">
        <v>15</v>
      </c>
      <c r="C316" t="s">
        <v>90</v>
      </c>
      <c r="D316" t="s">
        <v>25</v>
      </c>
      <c r="E316" t="s">
        <v>91</v>
      </c>
      <c r="F316" t="s">
        <v>49</v>
      </c>
      <c r="G316">
        <v>1997</v>
      </c>
      <c r="H316">
        <v>10147.9</v>
      </c>
      <c r="I316">
        <v>10065.9</v>
      </c>
      <c r="J316">
        <v>89.1</v>
      </c>
      <c r="K316">
        <v>9956.7999999999993</v>
      </c>
      <c r="L316" s="5">
        <v>0.98116851760000001</v>
      </c>
      <c r="M316">
        <v>191.1</v>
      </c>
      <c r="N316" s="5">
        <v>1.883148238E-2</v>
      </c>
    </row>
    <row r="317" spans="1:14" x14ac:dyDescent="0.3">
      <c r="A317" t="s">
        <v>393</v>
      </c>
      <c r="B317" t="s">
        <v>15</v>
      </c>
      <c r="C317" t="s">
        <v>22</v>
      </c>
      <c r="D317" t="s">
        <v>17</v>
      </c>
      <c r="E317" t="s">
        <v>18</v>
      </c>
      <c r="F317" t="s">
        <v>19</v>
      </c>
      <c r="G317">
        <v>2015</v>
      </c>
      <c r="H317">
        <v>10141.700000000001</v>
      </c>
      <c r="I317">
        <v>9084.2000000000007</v>
      </c>
      <c r="J317">
        <v>1067.9000000000001</v>
      </c>
      <c r="K317">
        <v>7696.5</v>
      </c>
      <c r="L317" s="5">
        <v>0.75889643750000002</v>
      </c>
      <c r="M317">
        <v>2445.1999999999998</v>
      </c>
      <c r="N317" s="5">
        <v>0.24110356249999998</v>
      </c>
    </row>
    <row r="318" spans="1:14" x14ac:dyDescent="0.3">
      <c r="A318" t="s">
        <v>394</v>
      </c>
      <c r="B318" t="s">
        <v>15</v>
      </c>
      <c r="C318" t="s">
        <v>167</v>
      </c>
      <c r="D318" t="s">
        <v>168</v>
      </c>
      <c r="E318" t="s">
        <v>169</v>
      </c>
      <c r="F318" t="s">
        <v>49</v>
      </c>
      <c r="G318">
        <v>2010</v>
      </c>
      <c r="H318">
        <v>10122.5</v>
      </c>
      <c r="I318">
        <v>8138.6</v>
      </c>
      <c r="J318">
        <v>1988.4</v>
      </c>
      <c r="K318">
        <v>5614.2</v>
      </c>
      <c r="L318" s="5">
        <v>0.55462583350000005</v>
      </c>
      <c r="M318">
        <v>4508.3</v>
      </c>
      <c r="N318" s="5">
        <v>0.44537416649999995</v>
      </c>
    </row>
    <row r="319" spans="1:14" x14ac:dyDescent="0.3">
      <c r="A319" t="s">
        <v>395</v>
      </c>
      <c r="B319" t="s">
        <v>15</v>
      </c>
      <c r="C319" t="s">
        <v>167</v>
      </c>
      <c r="D319" t="s">
        <v>168</v>
      </c>
      <c r="E319" t="s">
        <v>61</v>
      </c>
      <c r="F319" t="s">
        <v>19</v>
      </c>
      <c r="G319">
        <v>2004</v>
      </c>
      <c r="H319">
        <v>10115.700000000001</v>
      </c>
      <c r="I319">
        <v>9351.5</v>
      </c>
      <c r="J319">
        <v>766.2</v>
      </c>
      <c r="K319">
        <v>269.8</v>
      </c>
      <c r="L319" s="5">
        <v>2.667141177E-2</v>
      </c>
      <c r="M319">
        <v>9845.9</v>
      </c>
      <c r="N319" s="5">
        <v>0.97332858820000001</v>
      </c>
    </row>
    <row r="320" spans="1:14" x14ac:dyDescent="0.3">
      <c r="A320" t="s">
        <v>396</v>
      </c>
      <c r="B320" t="s">
        <v>15</v>
      </c>
      <c r="C320" t="s">
        <v>34</v>
      </c>
      <c r="D320" t="s">
        <v>17</v>
      </c>
      <c r="E320" t="s">
        <v>52</v>
      </c>
      <c r="F320" t="s">
        <v>49</v>
      </c>
      <c r="G320">
        <v>2006</v>
      </c>
      <c r="H320">
        <v>10108</v>
      </c>
      <c r="I320">
        <v>8333.7000000000007</v>
      </c>
      <c r="J320">
        <v>1782</v>
      </c>
      <c r="K320">
        <v>8006.1</v>
      </c>
      <c r="L320" s="5">
        <v>0.79205579740000009</v>
      </c>
      <c r="M320">
        <v>2101.9</v>
      </c>
      <c r="N320" s="5">
        <v>0.20794420259999999</v>
      </c>
    </row>
    <row r="321" spans="1:14" x14ac:dyDescent="0.3">
      <c r="A321" t="s">
        <v>397</v>
      </c>
      <c r="B321" t="s">
        <v>15</v>
      </c>
      <c r="C321" t="s">
        <v>34</v>
      </c>
      <c r="D321" t="s">
        <v>17</v>
      </c>
      <c r="E321" t="s">
        <v>18</v>
      </c>
      <c r="F321" t="s">
        <v>19</v>
      </c>
      <c r="G321">
        <v>2014</v>
      </c>
      <c r="H321">
        <v>10095.5</v>
      </c>
      <c r="I321">
        <v>6587</v>
      </c>
      <c r="J321">
        <v>3508.5</v>
      </c>
      <c r="K321">
        <v>5050.8999999999996</v>
      </c>
      <c r="L321" s="5">
        <v>0.50031202019999998</v>
      </c>
      <c r="M321">
        <v>5044.6000000000004</v>
      </c>
      <c r="N321" s="5">
        <v>0.49968797979999996</v>
      </c>
    </row>
    <row r="322" spans="1:14" x14ac:dyDescent="0.3">
      <c r="A322" t="s">
        <v>398</v>
      </c>
      <c r="B322" t="s">
        <v>79</v>
      </c>
      <c r="C322" t="s">
        <v>22</v>
      </c>
      <c r="D322" t="s">
        <v>17</v>
      </c>
      <c r="E322" t="s">
        <v>140</v>
      </c>
      <c r="F322" t="s">
        <v>49</v>
      </c>
      <c r="G322">
        <v>2009</v>
      </c>
      <c r="H322">
        <v>10048.299999999999</v>
      </c>
      <c r="I322">
        <v>3456.4</v>
      </c>
      <c r="J322">
        <v>6591.9</v>
      </c>
      <c r="K322">
        <v>257</v>
      </c>
      <c r="L322" s="5">
        <v>2.557646567E-2</v>
      </c>
      <c r="M322">
        <v>9791.2999999999993</v>
      </c>
      <c r="N322" s="5">
        <v>0.97442353429999995</v>
      </c>
    </row>
    <row r="323" spans="1:14" x14ac:dyDescent="0.3">
      <c r="A323" t="s">
        <v>399</v>
      </c>
      <c r="B323" t="s">
        <v>15</v>
      </c>
      <c r="C323" t="s">
        <v>16</v>
      </c>
      <c r="D323" t="s">
        <v>17</v>
      </c>
      <c r="E323" t="s">
        <v>52</v>
      </c>
      <c r="F323" t="s">
        <v>19</v>
      </c>
      <c r="G323">
        <v>2012</v>
      </c>
      <c r="H323">
        <v>9970.2000000000007</v>
      </c>
      <c r="I323">
        <v>9813.7000000000007</v>
      </c>
      <c r="J323">
        <v>161.5</v>
      </c>
      <c r="K323">
        <v>9795.7999999999993</v>
      </c>
      <c r="L323" s="5">
        <v>0.98250787349999991</v>
      </c>
      <c r="M323">
        <v>174.4</v>
      </c>
      <c r="N323" s="5">
        <v>1.749212654E-2</v>
      </c>
    </row>
    <row r="324" spans="1:14" x14ac:dyDescent="0.3">
      <c r="A324" t="s">
        <v>400</v>
      </c>
      <c r="B324" t="s">
        <v>15</v>
      </c>
      <c r="C324" t="s">
        <v>22</v>
      </c>
      <c r="D324" t="s">
        <v>17</v>
      </c>
      <c r="E324" t="s">
        <v>23</v>
      </c>
      <c r="F324" t="s">
        <v>19</v>
      </c>
      <c r="G324">
        <v>2021</v>
      </c>
      <c r="H324">
        <v>9949.6</v>
      </c>
      <c r="I324">
        <v>9956.4</v>
      </c>
      <c r="J324">
        <v>0</v>
      </c>
      <c r="K324">
        <v>9911.9</v>
      </c>
      <c r="L324" s="5">
        <v>0.99621090300000004</v>
      </c>
      <c r="M324">
        <v>37.700000000000003</v>
      </c>
      <c r="N324" s="5">
        <v>3.7890970489999998E-3</v>
      </c>
    </row>
    <row r="325" spans="1:14" x14ac:dyDescent="0.3">
      <c r="A325" t="s">
        <v>401</v>
      </c>
      <c r="B325" t="s">
        <v>15</v>
      </c>
      <c r="C325" t="s">
        <v>22</v>
      </c>
      <c r="D325" t="s">
        <v>25</v>
      </c>
      <c r="E325" t="s">
        <v>26</v>
      </c>
      <c r="F325" t="s">
        <v>19</v>
      </c>
      <c r="G325">
        <v>2014</v>
      </c>
      <c r="H325">
        <v>9948.7000000000007</v>
      </c>
      <c r="I325">
        <v>4105.3</v>
      </c>
      <c r="J325">
        <v>5843.4</v>
      </c>
      <c r="K325">
        <v>471.7</v>
      </c>
      <c r="L325" s="5">
        <v>4.7413229870000004E-2</v>
      </c>
      <c r="M325">
        <v>9477</v>
      </c>
      <c r="N325" s="5">
        <v>0.95258677010000004</v>
      </c>
    </row>
    <row r="326" spans="1:14" x14ac:dyDescent="0.3">
      <c r="A326" t="s">
        <v>402</v>
      </c>
      <c r="B326" t="s">
        <v>15</v>
      </c>
      <c r="C326" t="s">
        <v>16</v>
      </c>
      <c r="D326" t="s">
        <v>17</v>
      </c>
      <c r="E326" t="s">
        <v>52</v>
      </c>
      <c r="F326" t="s">
        <v>49</v>
      </c>
      <c r="G326">
        <v>1996</v>
      </c>
      <c r="H326">
        <v>9933.4</v>
      </c>
      <c r="I326">
        <v>9932.9</v>
      </c>
      <c r="J326">
        <v>6.1</v>
      </c>
      <c r="K326">
        <v>9864.7000000000007</v>
      </c>
      <c r="L326" s="5">
        <v>0.99308393900000003</v>
      </c>
      <c r="M326">
        <v>68.7</v>
      </c>
      <c r="N326" s="5">
        <v>6.9160609660000004E-3</v>
      </c>
    </row>
    <row r="327" spans="1:14" x14ac:dyDescent="0.3">
      <c r="A327" t="s">
        <v>403</v>
      </c>
      <c r="B327" t="s">
        <v>15</v>
      </c>
      <c r="C327" t="s">
        <v>22</v>
      </c>
      <c r="D327" t="s">
        <v>25</v>
      </c>
      <c r="E327" t="s">
        <v>83</v>
      </c>
      <c r="F327" t="s">
        <v>19</v>
      </c>
      <c r="G327">
        <v>1988</v>
      </c>
      <c r="H327">
        <v>9914.5</v>
      </c>
      <c r="I327">
        <v>6239</v>
      </c>
      <c r="J327">
        <v>3689.5</v>
      </c>
      <c r="K327">
        <v>5931.4</v>
      </c>
      <c r="L327" s="5">
        <v>0.59825508090000001</v>
      </c>
      <c r="M327">
        <v>3983.1</v>
      </c>
      <c r="N327" s="5">
        <v>0.40174491909999999</v>
      </c>
    </row>
    <row r="328" spans="1:14" x14ac:dyDescent="0.3">
      <c r="A328" t="s">
        <v>404</v>
      </c>
      <c r="B328" t="s">
        <v>79</v>
      </c>
      <c r="C328" t="s">
        <v>90</v>
      </c>
      <c r="D328" t="s">
        <v>25</v>
      </c>
      <c r="E328" t="s">
        <v>52</v>
      </c>
      <c r="F328" t="s">
        <v>49</v>
      </c>
      <c r="G328">
        <v>1987</v>
      </c>
      <c r="H328">
        <v>9914.4</v>
      </c>
      <c r="I328">
        <v>9921.1</v>
      </c>
      <c r="J328">
        <v>6.1</v>
      </c>
      <c r="K328">
        <v>7817.7</v>
      </c>
      <c r="L328" s="5">
        <v>0.78851972889999999</v>
      </c>
      <c r="M328">
        <v>2096.6999999999998</v>
      </c>
      <c r="N328" s="5">
        <v>0.21148027110000001</v>
      </c>
    </row>
    <row r="329" spans="1:14" x14ac:dyDescent="0.3">
      <c r="A329" t="s">
        <v>405</v>
      </c>
      <c r="B329" t="s">
        <v>15</v>
      </c>
      <c r="C329" t="s">
        <v>34</v>
      </c>
      <c r="D329" t="s">
        <v>17</v>
      </c>
      <c r="E329" t="s">
        <v>52</v>
      </c>
      <c r="F329" t="s">
        <v>49</v>
      </c>
      <c r="G329">
        <v>1969</v>
      </c>
      <c r="H329">
        <v>9909.5</v>
      </c>
      <c r="I329">
        <v>9912.7999999999993</v>
      </c>
      <c r="J329">
        <v>0</v>
      </c>
      <c r="K329">
        <v>9909.5</v>
      </c>
      <c r="L329" s="5">
        <v>1</v>
      </c>
      <c r="M329">
        <v>0</v>
      </c>
      <c r="N329" s="5">
        <v>0</v>
      </c>
    </row>
    <row r="330" spans="1:14" x14ac:dyDescent="0.3">
      <c r="A330" t="s">
        <v>406</v>
      </c>
      <c r="B330" t="s">
        <v>79</v>
      </c>
      <c r="C330" t="s">
        <v>407</v>
      </c>
      <c r="D330" t="s">
        <v>408</v>
      </c>
      <c r="E330" t="s">
        <v>52</v>
      </c>
      <c r="F330" t="s">
        <v>49</v>
      </c>
      <c r="G330">
        <v>2017</v>
      </c>
      <c r="H330">
        <v>9899.4</v>
      </c>
      <c r="I330">
        <v>9883</v>
      </c>
      <c r="J330">
        <v>20.100000000000001</v>
      </c>
      <c r="K330">
        <v>9351.9</v>
      </c>
      <c r="L330" s="5">
        <v>0.94469361780000005</v>
      </c>
      <c r="M330">
        <v>547.5</v>
      </c>
      <c r="N330" s="5">
        <v>5.5306382200000004E-2</v>
      </c>
    </row>
    <row r="331" spans="1:14" x14ac:dyDescent="0.3">
      <c r="A331" t="s">
        <v>409</v>
      </c>
      <c r="B331" t="s">
        <v>15</v>
      </c>
      <c r="C331" t="s">
        <v>22</v>
      </c>
      <c r="D331" t="s">
        <v>17</v>
      </c>
      <c r="E331" t="s">
        <v>99</v>
      </c>
      <c r="F331" t="s">
        <v>49</v>
      </c>
      <c r="G331">
        <v>2010</v>
      </c>
      <c r="H331">
        <v>9869.2999999999993</v>
      </c>
      <c r="I331">
        <v>6437</v>
      </c>
      <c r="J331">
        <v>3432.3</v>
      </c>
      <c r="K331">
        <v>4558.7</v>
      </c>
      <c r="L331" s="5">
        <v>0.46190712610000001</v>
      </c>
      <c r="M331">
        <v>5310.6</v>
      </c>
      <c r="N331" s="5">
        <v>0.53809287390000005</v>
      </c>
    </row>
    <row r="332" spans="1:14" x14ac:dyDescent="0.3">
      <c r="A332" t="s">
        <v>410</v>
      </c>
      <c r="B332" t="s">
        <v>15</v>
      </c>
      <c r="C332" t="s">
        <v>22</v>
      </c>
      <c r="D332" t="s">
        <v>25</v>
      </c>
      <c r="E332" t="s">
        <v>83</v>
      </c>
      <c r="F332" t="s">
        <v>19</v>
      </c>
      <c r="G332">
        <v>1998</v>
      </c>
      <c r="H332">
        <v>9862.6</v>
      </c>
      <c r="I332">
        <v>4889.8</v>
      </c>
      <c r="J332">
        <v>4976.3999999999996</v>
      </c>
      <c r="K332">
        <v>1538.9</v>
      </c>
      <c r="L332" s="5">
        <v>0.15603390589999999</v>
      </c>
      <c r="M332">
        <v>8323.7000000000007</v>
      </c>
      <c r="N332" s="5">
        <v>0.84396609410000001</v>
      </c>
    </row>
    <row r="333" spans="1:14" x14ac:dyDescent="0.3">
      <c r="A333" t="s">
        <v>411</v>
      </c>
      <c r="B333" t="s">
        <v>21</v>
      </c>
      <c r="C333" t="s">
        <v>34</v>
      </c>
      <c r="D333" t="s">
        <v>17</v>
      </c>
      <c r="E333" t="s">
        <v>23</v>
      </c>
      <c r="F333" t="s">
        <v>19</v>
      </c>
      <c r="G333">
        <v>2014</v>
      </c>
      <c r="H333">
        <v>9859.6</v>
      </c>
      <c r="I333">
        <v>4832.5</v>
      </c>
      <c r="J333">
        <v>5032.8999999999996</v>
      </c>
      <c r="K333">
        <v>2441.1</v>
      </c>
      <c r="L333" s="5">
        <v>0.247586109</v>
      </c>
      <c r="M333">
        <v>7418.5</v>
      </c>
      <c r="N333" s="5">
        <v>0.75241389100000011</v>
      </c>
    </row>
    <row r="334" spans="1:14" x14ac:dyDescent="0.3">
      <c r="A334" t="s">
        <v>412</v>
      </c>
      <c r="B334" t="s">
        <v>15</v>
      </c>
      <c r="C334" t="s">
        <v>90</v>
      </c>
      <c r="D334" t="s">
        <v>25</v>
      </c>
      <c r="E334" t="s">
        <v>83</v>
      </c>
      <c r="F334" t="s">
        <v>19</v>
      </c>
      <c r="G334">
        <v>2023</v>
      </c>
      <c r="H334">
        <v>9854</v>
      </c>
      <c r="I334">
        <v>8668.1</v>
      </c>
      <c r="J334">
        <v>1197.3</v>
      </c>
      <c r="K334">
        <v>2611.1</v>
      </c>
      <c r="L334" s="5">
        <v>0.26497868889999998</v>
      </c>
      <c r="M334">
        <v>7242.9</v>
      </c>
      <c r="N334" s="5">
        <v>0.73502131109999991</v>
      </c>
    </row>
    <row r="335" spans="1:14" x14ac:dyDescent="0.3">
      <c r="A335" t="s">
        <v>413</v>
      </c>
      <c r="B335" t="s">
        <v>21</v>
      </c>
      <c r="C335" t="s">
        <v>22</v>
      </c>
      <c r="D335" t="s">
        <v>17</v>
      </c>
      <c r="E335" t="s">
        <v>23</v>
      </c>
      <c r="F335" t="s">
        <v>19</v>
      </c>
      <c r="G335">
        <v>2019</v>
      </c>
      <c r="H335">
        <v>9797.7999999999993</v>
      </c>
      <c r="I335">
        <v>9279.7000000000007</v>
      </c>
      <c r="J335">
        <v>543.29999999999995</v>
      </c>
      <c r="K335">
        <v>8953.2000000000007</v>
      </c>
      <c r="L335" s="5">
        <v>0.91379697479999999</v>
      </c>
      <c r="M335">
        <v>844.6</v>
      </c>
      <c r="N335" s="5">
        <v>8.6203025170000003E-2</v>
      </c>
    </row>
    <row r="336" spans="1:14" x14ac:dyDescent="0.3">
      <c r="A336" t="s">
        <v>414</v>
      </c>
      <c r="B336" t="s">
        <v>15</v>
      </c>
      <c r="C336" t="s">
        <v>22</v>
      </c>
      <c r="D336" t="s">
        <v>17</v>
      </c>
      <c r="E336" t="s">
        <v>18</v>
      </c>
      <c r="F336" t="s">
        <v>19</v>
      </c>
      <c r="G336">
        <v>1997</v>
      </c>
      <c r="H336">
        <v>9734</v>
      </c>
      <c r="I336">
        <v>4314.3</v>
      </c>
      <c r="J336">
        <v>5425.4</v>
      </c>
      <c r="K336">
        <v>31</v>
      </c>
      <c r="L336" s="5">
        <v>3.1847133760000003E-3</v>
      </c>
      <c r="M336">
        <v>9703</v>
      </c>
      <c r="N336" s="5">
        <v>0.99681528659999996</v>
      </c>
    </row>
    <row r="337" spans="1:14" x14ac:dyDescent="0.3">
      <c r="A337" t="s">
        <v>415</v>
      </c>
      <c r="B337" t="s">
        <v>15</v>
      </c>
      <c r="C337" t="s">
        <v>22</v>
      </c>
      <c r="D337" t="s">
        <v>17</v>
      </c>
      <c r="E337" t="s">
        <v>28</v>
      </c>
      <c r="F337" t="s">
        <v>19</v>
      </c>
      <c r="G337">
        <v>2009</v>
      </c>
      <c r="H337">
        <v>9713</v>
      </c>
      <c r="I337">
        <v>5586.8</v>
      </c>
      <c r="J337">
        <v>4126.1000000000004</v>
      </c>
      <c r="K337">
        <v>2334.8000000000002</v>
      </c>
      <c r="L337" s="5">
        <v>0.2403788737</v>
      </c>
      <c r="M337">
        <v>7378.2</v>
      </c>
      <c r="N337" s="5">
        <v>0.75962112629999989</v>
      </c>
    </row>
    <row r="338" spans="1:14" x14ac:dyDescent="0.3">
      <c r="A338" t="s">
        <v>416</v>
      </c>
      <c r="B338" t="s">
        <v>15</v>
      </c>
      <c r="C338" t="s">
        <v>22</v>
      </c>
      <c r="D338" t="s">
        <v>17</v>
      </c>
      <c r="E338" t="s">
        <v>273</v>
      </c>
      <c r="F338" t="s">
        <v>49</v>
      </c>
      <c r="G338">
        <v>2012</v>
      </c>
      <c r="H338">
        <v>9666.1</v>
      </c>
      <c r="I338">
        <v>9207.9</v>
      </c>
      <c r="J338">
        <v>460.8</v>
      </c>
      <c r="K338">
        <v>9168.2999999999993</v>
      </c>
      <c r="L338" s="5">
        <v>0.9485004293</v>
      </c>
      <c r="M338">
        <v>497.8</v>
      </c>
      <c r="N338" s="5">
        <v>5.1499570660000001E-2</v>
      </c>
    </row>
    <row r="339" spans="1:14" x14ac:dyDescent="0.3">
      <c r="A339" t="s">
        <v>417</v>
      </c>
      <c r="B339" t="s">
        <v>15</v>
      </c>
      <c r="C339" t="s">
        <v>90</v>
      </c>
      <c r="D339" t="s">
        <v>25</v>
      </c>
      <c r="E339" t="s">
        <v>83</v>
      </c>
      <c r="F339" t="s">
        <v>19</v>
      </c>
      <c r="G339">
        <v>2020</v>
      </c>
      <c r="H339">
        <v>9609</v>
      </c>
      <c r="I339">
        <v>5573.7</v>
      </c>
      <c r="J339">
        <v>4061</v>
      </c>
      <c r="K339">
        <v>436.8</v>
      </c>
      <c r="L339" s="5">
        <v>4.5457383699999993E-2</v>
      </c>
      <c r="M339">
        <v>9172.2000000000007</v>
      </c>
      <c r="N339" s="5">
        <v>0.95454261630000004</v>
      </c>
    </row>
    <row r="340" spans="1:14" x14ac:dyDescent="0.3">
      <c r="A340" t="s">
        <v>418</v>
      </c>
      <c r="B340" t="s">
        <v>15</v>
      </c>
      <c r="C340" t="s">
        <v>22</v>
      </c>
      <c r="D340" t="s">
        <v>17</v>
      </c>
      <c r="E340" t="s">
        <v>28</v>
      </c>
      <c r="F340" t="s">
        <v>19</v>
      </c>
      <c r="G340">
        <v>2014</v>
      </c>
      <c r="H340">
        <v>9513.7000000000007</v>
      </c>
      <c r="I340">
        <v>9454.2999999999993</v>
      </c>
      <c r="J340">
        <v>63.4</v>
      </c>
      <c r="K340">
        <v>1289.2</v>
      </c>
      <c r="L340" s="5">
        <v>0.13550984369999999</v>
      </c>
      <c r="M340">
        <v>8224.5</v>
      </c>
      <c r="N340" s="5">
        <v>0.86449015630000003</v>
      </c>
    </row>
    <row r="341" spans="1:14" x14ac:dyDescent="0.3">
      <c r="A341" t="s">
        <v>419</v>
      </c>
      <c r="B341" t="s">
        <v>15</v>
      </c>
      <c r="C341" t="s">
        <v>95</v>
      </c>
      <c r="D341" t="s">
        <v>17</v>
      </c>
      <c r="E341" t="s">
        <v>28</v>
      </c>
      <c r="F341" t="s">
        <v>49</v>
      </c>
      <c r="G341">
        <v>2014</v>
      </c>
      <c r="H341">
        <v>9513</v>
      </c>
      <c r="I341">
        <v>9329.2999999999993</v>
      </c>
      <c r="J341">
        <v>185.8</v>
      </c>
      <c r="K341">
        <v>8793</v>
      </c>
      <c r="L341" s="5">
        <v>0.92431409650000007</v>
      </c>
      <c r="M341">
        <v>720</v>
      </c>
      <c r="N341" s="5">
        <v>7.5685903499999999E-2</v>
      </c>
    </row>
    <row r="342" spans="1:14" x14ac:dyDescent="0.3">
      <c r="A342" t="s">
        <v>420</v>
      </c>
      <c r="B342" t="s">
        <v>15</v>
      </c>
      <c r="C342" t="s">
        <v>90</v>
      </c>
      <c r="D342" t="s">
        <v>25</v>
      </c>
      <c r="E342" t="s">
        <v>91</v>
      </c>
      <c r="F342" t="s">
        <v>49</v>
      </c>
      <c r="G342">
        <v>2007</v>
      </c>
      <c r="H342">
        <v>9503.2999999999993</v>
      </c>
      <c r="I342">
        <v>2467.8000000000002</v>
      </c>
      <c r="J342">
        <v>7045.9</v>
      </c>
      <c r="K342">
        <v>9278.4</v>
      </c>
      <c r="L342" s="5">
        <v>0.97633453640000001</v>
      </c>
      <c r="M342">
        <v>224.9</v>
      </c>
      <c r="N342" s="5">
        <v>2.3665463580000001E-2</v>
      </c>
    </row>
    <row r="343" spans="1:14" x14ac:dyDescent="0.3">
      <c r="A343" t="s">
        <v>421</v>
      </c>
      <c r="B343" t="s">
        <v>15</v>
      </c>
      <c r="C343" t="s">
        <v>22</v>
      </c>
      <c r="D343" t="s">
        <v>25</v>
      </c>
      <c r="E343" t="s">
        <v>152</v>
      </c>
      <c r="F343" t="s">
        <v>19</v>
      </c>
      <c r="G343">
        <v>2010</v>
      </c>
      <c r="H343">
        <v>9495.2000000000007</v>
      </c>
      <c r="I343">
        <v>6483.6</v>
      </c>
      <c r="J343">
        <v>3011.7</v>
      </c>
      <c r="K343">
        <v>4320.3999999999996</v>
      </c>
      <c r="L343" s="5">
        <v>0.45500884659999996</v>
      </c>
      <c r="M343">
        <v>5174.8</v>
      </c>
      <c r="N343" s="5">
        <v>0.54499115340000004</v>
      </c>
    </row>
    <row r="344" spans="1:14" x14ac:dyDescent="0.3">
      <c r="A344" t="s">
        <v>422</v>
      </c>
      <c r="B344" t="s">
        <v>15</v>
      </c>
      <c r="C344" t="s">
        <v>34</v>
      </c>
      <c r="D344" t="s">
        <v>17</v>
      </c>
      <c r="E344" t="s">
        <v>58</v>
      </c>
      <c r="F344" t="s">
        <v>49</v>
      </c>
      <c r="G344">
        <v>2010</v>
      </c>
      <c r="H344">
        <v>9439.9</v>
      </c>
      <c r="I344">
        <v>4498.2</v>
      </c>
      <c r="J344">
        <v>4948.6000000000004</v>
      </c>
      <c r="K344">
        <v>5621.4</v>
      </c>
      <c r="L344" s="5">
        <v>0.59549359629999998</v>
      </c>
      <c r="M344">
        <v>3818.5</v>
      </c>
      <c r="N344" s="5">
        <v>0.40450640370000002</v>
      </c>
    </row>
    <row r="345" spans="1:14" x14ac:dyDescent="0.3">
      <c r="A345" t="s">
        <v>423</v>
      </c>
      <c r="B345" t="s">
        <v>15</v>
      </c>
      <c r="C345" t="s">
        <v>407</v>
      </c>
      <c r="D345" t="s">
        <v>408</v>
      </c>
      <c r="E345" t="s">
        <v>18</v>
      </c>
      <c r="F345" t="s">
        <v>19</v>
      </c>
      <c r="G345">
        <v>2011</v>
      </c>
      <c r="H345">
        <v>9437.2999999999993</v>
      </c>
      <c r="I345">
        <v>6110.3</v>
      </c>
      <c r="J345">
        <v>3331.7</v>
      </c>
      <c r="K345">
        <v>2399.1999999999998</v>
      </c>
      <c r="L345" s="5">
        <v>0.25422525509999999</v>
      </c>
      <c r="M345">
        <v>7038.1</v>
      </c>
      <c r="N345" s="5">
        <v>0.74577474489999995</v>
      </c>
    </row>
    <row r="346" spans="1:14" x14ac:dyDescent="0.3">
      <c r="A346" t="s">
        <v>424</v>
      </c>
      <c r="B346" t="s">
        <v>21</v>
      </c>
      <c r="C346" t="s">
        <v>34</v>
      </c>
      <c r="D346" t="s">
        <v>17</v>
      </c>
      <c r="E346" t="s">
        <v>52</v>
      </c>
      <c r="F346" t="s">
        <v>49</v>
      </c>
      <c r="G346">
        <v>2009</v>
      </c>
      <c r="H346">
        <v>9401</v>
      </c>
      <c r="I346">
        <v>8691.5</v>
      </c>
      <c r="J346">
        <v>712.9</v>
      </c>
      <c r="K346">
        <v>8081.2</v>
      </c>
      <c r="L346" s="5">
        <v>0.85961067970000005</v>
      </c>
      <c r="M346">
        <v>1319.8</v>
      </c>
      <c r="N346" s="5">
        <v>0.14038932030000001</v>
      </c>
    </row>
    <row r="347" spans="1:14" x14ac:dyDescent="0.3">
      <c r="A347" t="s">
        <v>425</v>
      </c>
      <c r="B347" t="s">
        <v>15</v>
      </c>
      <c r="C347" t="s">
        <v>22</v>
      </c>
      <c r="D347" t="s">
        <v>17</v>
      </c>
      <c r="E347" t="s">
        <v>18</v>
      </c>
      <c r="F347" t="s">
        <v>19</v>
      </c>
      <c r="G347">
        <v>2008</v>
      </c>
      <c r="H347">
        <v>9362.2999999999993</v>
      </c>
      <c r="I347">
        <v>4260.1000000000004</v>
      </c>
      <c r="J347">
        <v>5102.2</v>
      </c>
      <c r="K347">
        <v>1075.5999999999999</v>
      </c>
      <c r="L347" s="5">
        <v>0.11488629929999999</v>
      </c>
      <c r="M347">
        <v>8286.7000000000007</v>
      </c>
      <c r="N347" s="5">
        <v>0.88511370069999995</v>
      </c>
    </row>
    <row r="348" spans="1:14" x14ac:dyDescent="0.3">
      <c r="A348" t="s">
        <v>426</v>
      </c>
      <c r="B348" t="s">
        <v>15</v>
      </c>
      <c r="C348" t="s">
        <v>243</v>
      </c>
      <c r="D348" t="s">
        <v>25</v>
      </c>
      <c r="E348" t="s">
        <v>83</v>
      </c>
      <c r="F348" t="s">
        <v>19</v>
      </c>
      <c r="G348">
        <v>1989</v>
      </c>
      <c r="H348">
        <v>9340.1</v>
      </c>
      <c r="I348">
        <v>6691.7</v>
      </c>
      <c r="J348">
        <v>2658.2</v>
      </c>
      <c r="K348">
        <v>5230.2</v>
      </c>
      <c r="L348" s="5">
        <v>0.55997259129999999</v>
      </c>
      <c r="M348">
        <v>4109.8999999999996</v>
      </c>
      <c r="N348" s="5">
        <v>0.44002740869999996</v>
      </c>
    </row>
    <row r="349" spans="1:14" x14ac:dyDescent="0.3">
      <c r="A349" t="s">
        <v>427</v>
      </c>
      <c r="B349" t="s">
        <v>15</v>
      </c>
      <c r="C349" t="s">
        <v>22</v>
      </c>
      <c r="D349" t="s">
        <v>17</v>
      </c>
      <c r="E349" t="s">
        <v>18</v>
      </c>
      <c r="F349" t="s">
        <v>19</v>
      </c>
      <c r="G349">
        <v>2017</v>
      </c>
      <c r="H349">
        <v>9314.7999999999993</v>
      </c>
      <c r="I349">
        <v>5409.5</v>
      </c>
      <c r="J349">
        <v>3905.3</v>
      </c>
      <c r="K349">
        <v>1907.2</v>
      </c>
      <c r="L349" s="5">
        <v>0.20474943100000001</v>
      </c>
      <c r="M349">
        <v>7407.6</v>
      </c>
      <c r="N349" s="5">
        <v>0.79525056899999991</v>
      </c>
    </row>
    <row r="350" spans="1:14" x14ac:dyDescent="0.3">
      <c r="A350" t="s">
        <v>428</v>
      </c>
      <c r="B350" t="s">
        <v>15</v>
      </c>
      <c r="C350" t="s">
        <v>22</v>
      </c>
      <c r="D350" t="s">
        <v>17</v>
      </c>
      <c r="E350" t="s">
        <v>28</v>
      </c>
      <c r="F350" t="s">
        <v>19</v>
      </c>
      <c r="G350">
        <v>2018</v>
      </c>
      <c r="H350">
        <v>9302.9</v>
      </c>
      <c r="I350">
        <v>5809.3</v>
      </c>
      <c r="J350">
        <v>3497.2</v>
      </c>
      <c r="K350">
        <v>5699</v>
      </c>
      <c r="L350" s="5">
        <v>0.61260467169999999</v>
      </c>
      <c r="M350">
        <v>3603.9</v>
      </c>
      <c r="N350" s="5">
        <v>0.38739532830000001</v>
      </c>
    </row>
    <row r="351" spans="1:14" x14ac:dyDescent="0.3">
      <c r="A351" t="s">
        <v>429</v>
      </c>
      <c r="B351" t="s">
        <v>15</v>
      </c>
      <c r="C351" t="s">
        <v>22</v>
      </c>
      <c r="D351" t="s">
        <v>17</v>
      </c>
      <c r="E351" t="s">
        <v>52</v>
      </c>
      <c r="F351" t="s">
        <v>19</v>
      </c>
      <c r="G351">
        <v>1971</v>
      </c>
      <c r="H351">
        <v>9290.9</v>
      </c>
      <c r="I351">
        <v>9255.2000000000007</v>
      </c>
      <c r="J351">
        <v>40.4</v>
      </c>
      <c r="K351">
        <v>9207.2000000000007</v>
      </c>
      <c r="L351" s="5">
        <v>0.99099118489999993</v>
      </c>
      <c r="M351">
        <v>83.7</v>
      </c>
      <c r="N351" s="5">
        <v>9.008815077E-3</v>
      </c>
    </row>
    <row r="352" spans="1:14" x14ac:dyDescent="0.3">
      <c r="A352" t="s">
        <v>430</v>
      </c>
      <c r="B352" t="s">
        <v>15</v>
      </c>
      <c r="C352" t="s">
        <v>22</v>
      </c>
      <c r="D352" t="s">
        <v>17</v>
      </c>
      <c r="E352" t="s">
        <v>99</v>
      </c>
      <c r="F352" t="s">
        <v>19</v>
      </c>
      <c r="G352">
        <v>2007</v>
      </c>
      <c r="H352">
        <v>9213.5</v>
      </c>
      <c r="I352">
        <v>9212.7000000000007</v>
      </c>
      <c r="J352">
        <v>8.3000000000000007</v>
      </c>
      <c r="K352">
        <v>7646.2</v>
      </c>
      <c r="L352" s="5">
        <v>0.82989092090000005</v>
      </c>
      <c r="M352">
        <v>1567.3</v>
      </c>
      <c r="N352" s="5">
        <v>0.1701090791</v>
      </c>
    </row>
    <row r="353" spans="1:14" x14ac:dyDescent="0.3">
      <c r="A353" t="s">
        <v>431</v>
      </c>
      <c r="B353" t="s">
        <v>15</v>
      </c>
      <c r="C353" t="s">
        <v>34</v>
      </c>
      <c r="D353" t="s">
        <v>17</v>
      </c>
      <c r="E353" t="s">
        <v>52</v>
      </c>
      <c r="F353" t="s">
        <v>49</v>
      </c>
      <c r="G353">
        <v>1999</v>
      </c>
      <c r="H353">
        <v>9212.4</v>
      </c>
      <c r="I353">
        <v>7752.7</v>
      </c>
      <c r="J353">
        <v>1460.8</v>
      </c>
      <c r="K353">
        <v>9165</v>
      </c>
      <c r="L353" s="5">
        <v>0.99485476100000003</v>
      </c>
      <c r="M353">
        <v>47.4</v>
      </c>
      <c r="N353" s="5">
        <v>5.1452390260000001E-3</v>
      </c>
    </row>
    <row r="354" spans="1:14" x14ac:dyDescent="0.3">
      <c r="A354" t="s">
        <v>432</v>
      </c>
      <c r="B354" t="s">
        <v>15</v>
      </c>
      <c r="C354" t="s">
        <v>34</v>
      </c>
      <c r="D354" t="s">
        <v>17</v>
      </c>
      <c r="E354" t="s">
        <v>61</v>
      </c>
      <c r="F354" t="s">
        <v>19</v>
      </c>
      <c r="G354">
        <v>2015</v>
      </c>
      <c r="H354">
        <v>9206.7000000000007</v>
      </c>
      <c r="I354">
        <v>7645.1</v>
      </c>
      <c r="J354">
        <v>1564.1</v>
      </c>
      <c r="K354">
        <v>36.4</v>
      </c>
      <c r="L354" s="5">
        <v>3.9536424560000002E-3</v>
      </c>
      <c r="M354">
        <v>9170.2999999999993</v>
      </c>
      <c r="N354" s="5">
        <v>0.99604635750000003</v>
      </c>
    </row>
    <row r="355" spans="1:14" x14ac:dyDescent="0.3">
      <c r="A355" t="s">
        <v>433</v>
      </c>
      <c r="B355" t="s">
        <v>15</v>
      </c>
      <c r="C355" t="s">
        <v>22</v>
      </c>
      <c r="D355" t="s">
        <v>17</v>
      </c>
      <c r="E355" t="s">
        <v>23</v>
      </c>
      <c r="F355" t="s">
        <v>19</v>
      </c>
      <c r="G355">
        <v>2019</v>
      </c>
      <c r="H355">
        <v>9177.5</v>
      </c>
      <c r="I355">
        <v>7949</v>
      </c>
      <c r="J355">
        <v>1236.7</v>
      </c>
      <c r="K355">
        <v>7238.3</v>
      </c>
      <c r="L355" s="5">
        <v>0.78870062649999995</v>
      </c>
      <c r="M355">
        <v>1939.2</v>
      </c>
      <c r="N355" s="5">
        <v>0.2112993735</v>
      </c>
    </row>
    <row r="356" spans="1:14" x14ac:dyDescent="0.3">
      <c r="A356" t="s">
        <v>434</v>
      </c>
      <c r="B356" t="s">
        <v>15</v>
      </c>
      <c r="C356" t="s">
        <v>43</v>
      </c>
      <c r="D356" t="s">
        <v>25</v>
      </c>
      <c r="E356" t="s">
        <v>83</v>
      </c>
      <c r="F356" t="s">
        <v>19</v>
      </c>
      <c r="G356">
        <v>1988</v>
      </c>
      <c r="H356">
        <v>9121.6</v>
      </c>
      <c r="I356">
        <v>4954.8</v>
      </c>
      <c r="J356">
        <v>4166.8</v>
      </c>
      <c r="K356">
        <v>4039.5</v>
      </c>
      <c r="L356" s="5">
        <v>0.44284993859999999</v>
      </c>
      <c r="M356">
        <v>5082.1000000000004</v>
      </c>
      <c r="N356" s="5">
        <v>0.55715006140000001</v>
      </c>
    </row>
    <row r="357" spans="1:14" x14ac:dyDescent="0.3">
      <c r="A357" t="s">
        <v>435</v>
      </c>
      <c r="B357" t="s">
        <v>21</v>
      </c>
      <c r="C357" t="s">
        <v>22</v>
      </c>
      <c r="D357" t="s">
        <v>17</v>
      </c>
      <c r="E357" t="s">
        <v>23</v>
      </c>
      <c r="F357" t="s">
        <v>19</v>
      </c>
      <c r="G357">
        <v>1999</v>
      </c>
      <c r="H357">
        <v>9115.7000000000007</v>
      </c>
      <c r="I357">
        <v>7543</v>
      </c>
      <c r="J357">
        <v>1578.6</v>
      </c>
      <c r="K357">
        <v>2706.2</v>
      </c>
      <c r="L357" s="5">
        <v>0.29687242889999998</v>
      </c>
      <c r="M357">
        <v>6409.5</v>
      </c>
      <c r="N357" s="5">
        <v>0.70312757110000002</v>
      </c>
    </row>
    <row r="358" spans="1:14" x14ac:dyDescent="0.3">
      <c r="A358" t="s">
        <v>436</v>
      </c>
      <c r="B358" t="s">
        <v>15</v>
      </c>
      <c r="C358" t="s">
        <v>90</v>
      </c>
      <c r="D358" t="s">
        <v>25</v>
      </c>
      <c r="E358" t="s">
        <v>18</v>
      </c>
      <c r="F358" t="s">
        <v>49</v>
      </c>
      <c r="G358">
        <v>2002</v>
      </c>
      <c r="H358">
        <v>9107.5</v>
      </c>
      <c r="I358">
        <v>8630.9</v>
      </c>
      <c r="J358">
        <v>487.3</v>
      </c>
      <c r="K358">
        <v>5817.4</v>
      </c>
      <c r="L358" s="5">
        <v>0.63874828439999998</v>
      </c>
      <c r="M358">
        <v>3290.1</v>
      </c>
      <c r="N358" s="5">
        <v>0.36125171559999997</v>
      </c>
    </row>
    <row r="359" spans="1:14" x14ac:dyDescent="0.3">
      <c r="A359" t="s">
        <v>437</v>
      </c>
      <c r="B359" t="s">
        <v>15</v>
      </c>
      <c r="C359" t="s">
        <v>22</v>
      </c>
      <c r="D359" t="s">
        <v>17</v>
      </c>
      <c r="E359" t="s">
        <v>18</v>
      </c>
      <c r="F359" t="s">
        <v>19</v>
      </c>
      <c r="G359">
        <v>2001</v>
      </c>
      <c r="H359">
        <v>9084.9</v>
      </c>
      <c r="I359">
        <v>4560.6000000000004</v>
      </c>
      <c r="J359">
        <v>4524.3</v>
      </c>
      <c r="K359">
        <v>1805.2</v>
      </c>
      <c r="L359" s="5">
        <v>0.1987033429</v>
      </c>
      <c r="M359">
        <v>7279.7</v>
      </c>
      <c r="N359" s="5">
        <v>0.80129665709999998</v>
      </c>
    </row>
    <row r="360" spans="1:14" x14ac:dyDescent="0.3">
      <c r="A360" t="s">
        <v>438</v>
      </c>
      <c r="B360" t="s">
        <v>15</v>
      </c>
      <c r="C360" t="s">
        <v>90</v>
      </c>
      <c r="D360" t="s">
        <v>25</v>
      </c>
      <c r="E360" t="s">
        <v>91</v>
      </c>
      <c r="F360" t="s">
        <v>19</v>
      </c>
      <c r="G360">
        <v>2015</v>
      </c>
      <c r="H360">
        <v>9076.4</v>
      </c>
      <c r="I360">
        <v>3472</v>
      </c>
      <c r="J360">
        <v>5604.3</v>
      </c>
      <c r="K360">
        <v>752.1</v>
      </c>
      <c r="L360" s="5">
        <v>8.2863249749999993E-2</v>
      </c>
      <c r="M360">
        <v>8324.2999999999993</v>
      </c>
      <c r="N360" s="5">
        <v>0.91713675030000008</v>
      </c>
    </row>
    <row r="361" spans="1:14" x14ac:dyDescent="0.3">
      <c r="A361" t="s">
        <v>439</v>
      </c>
      <c r="B361" t="s">
        <v>15</v>
      </c>
      <c r="C361" t="s">
        <v>440</v>
      </c>
      <c r="D361" t="s">
        <v>25</v>
      </c>
      <c r="E361" t="s">
        <v>83</v>
      </c>
      <c r="F361" t="s">
        <v>19</v>
      </c>
      <c r="G361">
        <v>2008</v>
      </c>
      <c r="H361">
        <v>9056.5</v>
      </c>
      <c r="I361">
        <v>5112.2</v>
      </c>
      <c r="J361">
        <v>3944.3</v>
      </c>
      <c r="K361">
        <v>561.5</v>
      </c>
      <c r="L361" s="5">
        <v>6.199966875E-2</v>
      </c>
      <c r="M361">
        <v>8495</v>
      </c>
      <c r="N361" s="5">
        <v>0.93800033130000005</v>
      </c>
    </row>
    <row r="362" spans="1:14" x14ac:dyDescent="0.3">
      <c r="A362" t="s">
        <v>441</v>
      </c>
      <c r="B362" t="s">
        <v>21</v>
      </c>
      <c r="C362" t="s">
        <v>72</v>
      </c>
      <c r="D362" t="s">
        <v>73</v>
      </c>
      <c r="E362" t="s">
        <v>74</v>
      </c>
      <c r="F362" t="s">
        <v>19</v>
      </c>
      <c r="G362">
        <v>1980</v>
      </c>
      <c r="H362">
        <v>8988.2000000000007</v>
      </c>
      <c r="I362">
        <v>2897.2</v>
      </c>
      <c r="J362">
        <v>6102.8</v>
      </c>
      <c r="K362">
        <v>551.1</v>
      </c>
      <c r="L362" s="5">
        <v>6.1313722439999996E-2</v>
      </c>
      <c r="M362">
        <v>8437.1</v>
      </c>
      <c r="N362" s="5">
        <v>0.93868627760000001</v>
      </c>
    </row>
    <row r="363" spans="1:14" x14ac:dyDescent="0.3">
      <c r="A363" t="s">
        <v>442</v>
      </c>
      <c r="B363" t="s">
        <v>15</v>
      </c>
      <c r="C363" t="s">
        <v>43</v>
      </c>
      <c r="D363" t="s">
        <v>25</v>
      </c>
      <c r="E363" t="s">
        <v>26</v>
      </c>
      <c r="F363" t="s">
        <v>19</v>
      </c>
      <c r="G363">
        <v>2018</v>
      </c>
      <c r="H363">
        <v>8965</v>
      </c>
      <c r="I363">
        <v>6387.9</v>
      </c>
      <c r="J363">
        <v>2587.4</v>
      </c>
      <c r="K363">
        <v>1238.0999999999999</v>
      </c>
      <c r="L363" s="5">
        <v>0.13810373679999999</v>
      </c>
      <c r="M363">
        <v>7726.9</v>
      </c>
      <c r="N363" s="5">
        <v>0.86189626320000001</v>
      </c>
    </row>
    <row r="364" spans="1:14" x14ac:dyDescent="0.3">
      <c r="A364" t="s">
        <v>443</v>
      </c>
      <c r="B364" t="s">
        <v>21</v>
      </c>
      <c r="C364" t="s">
        <v>440</v>
      </c>
      <c r="D364" t="s">
        <v>25</v>
      </c>
      <c r="E364" t="s">
        <v>26</v>
      </c>
      <c r="F364" t="s">
        <v>19</v>
      </c>
      <c r="G364">
        <v>2010</v>
      </c>
      <c r="H364">
        <v>8960.1</v>
      </c>
      <c r="I364">
        <v>3564</v>
      </c>
      <c r="J364">
        <v>5398.2</v>
      </c>
      <c r="K364">
        <v>687.9</v>
      </c>
      <c r="L364" s="5">
        <v>7.6773696720000006E-2</v>
      </c>
      <c r="M364">
        <v>8272.2000000000007</v>
      </c>
      <c r="N364" s="5">
        <v>0.9232263033</v>
      </c>
    </row>
    <row r="365" spans="1:14" x14ac:dyDescent="0.3">
      <c r="A365" t="s">
        <v>444</v>
      </c>
      <c r="B365" t="s">
        <v>15</v>
      </c>
      <c r="C365" t="s">
        <v>22</v>
      </c>
      <c r="D365" t="s">
        <v>17</v>
      </c>
      <c r="E365" t="s">
        <v>52</v>
      </c>
      <c r="F365" t="s">
        <v>19</v>
      </c>
      <c r="G365">
        <v>1973</v>
      </c>
      <c r="H365">
        <v>8927.6</v>
      </c>
      <c r="I365">
        <v>8741.2000000000007</v>
      </c>
      <c r="J365">
        <v>189.7</v>
      </c>
      <c r="K365">
        <v>8713.2999999999993</v>
      </c>
      <c r="L365" s="5">
        <v>0.9759957883</v>
      </c>
      <c r="M365">
        <v>214.3</v>
      </c>
      <c r="N365" s="5">
        <v>2.400421166E-2</v>
      </c>
    </row>
    <row r="366" spans="1:14" x14ac:dyDescent="0.3">
      <c r="A366" t="s">
        <v>445</v>
      </c>
      <c r="B366" t="s">
        <v>15</v>
      </c>
      <c r="C366" t="s">
        <v>90</v>
      </c>
      <c r="D366" t="s">
        <v>25</v>
      </c>
      <c r="E366" t="s">
        <v>91</v>
      </c>
      <c r="F366" t="s">
        <v>19</v>
      </c>
      <c r="G366">
        <v>2011</v>
      </c>
      <c r="H366">
        <v>8916</v>
      </c>
      <c r="I366">
        <v>8080</v>
      </c>
      <c r="J366">
        <v>844.9</v>
      </c>
      <c r="K366">
        <v>7975.8</v>
      </c>
      <c r="L366" s="5">
        <v>0.89454912519999996</v>
      </c>
      <c r="M366">
        <v>940.2</v>
      </c>
      <c r="N366" s="5">
        <v>0.1054508748</v>
      </c>
    </row>
    <row r="367" spans="1:14" x14ac:dyDescent="0.3">
      <c r="A367" t="s">
        <v>446</v>
      </c>
      <c r="B367" t="s">
        <v>15</v>
      </c>
      <c r="C367" t="s">
        <v>22</v>
      </c>
      <c r="D367" t="s">
        <v>17</v>
      </c>
      <c r="E367" t="s">
        <v>23</v>
      </c>
      <c r="F367" t="s">
        <v>49</v>
      </c>
      <c r="G367">
        <v>2006</v>
      </c>
      <c r="H367">
        <v>8909.9</v>
      </c>
      <c r="I367">
        <v>6844.4</v>
      </c>
      <c r="J367">
        <v>2067.6999999999998</v>
      </c>
      <c r="K367">
        <v>6517.9</v>
      </c>
      <c r="L367" s="5">
        <v>0.73153458509999991</v>
      </c>
      <c r="M367">
        <v>2392</v>
      </c>
      <c r="N367" s="5">
        <v>0.26846541489999998</v>
      </c>
    </row>
    <row r="368" spans="1:14" x14ac:dyDescent="0.3">
      <c r="A368" t="s">
        <v>447</v>
      </c>
      <c r="B368" t="s">
        <v>15</v>
      </c>
      <c r="C368" t="s">
        <v>129</v>
      </c>
      <c r="D368" t="s">
        <v>130</v>
      </c>
      <c r="E368" t="s">
        <v>140</v>
      </c>
      <c r="F368" t="s">
        <v>19</v>
      </c>
      <c r="G368">
        <v>1977</v>
      </c>
      <c r="H368">
        <v>8906.9</v>
      </c>
      <c r="I368">
        <v>8155.5</v>
      </c>
      <c r="J368">
        <v>751.4</v>
      </c>
      <c r="K368">
        <v>5041.5</v>
      </c>
      <c r="L368" s="5">
        <v>0.56602184820000001</v>
      </c>
      <c r="M368">
        <v>3865.4</v>
      </c>
      <c r="N368" s="5">
        <v>0.43397815180000004</v>
      </c>
    </row>
    <row r="369" spans="1:14" x14ac:dyDescent="0.3">
      <c r="A369" t="s">
        <v>448</v>
      </c>
      <c r="B369" t="s">
        <v>21</v>
      </c>
      <c r="C369" t="s">
        <v>22</v>
      </c>
      <c r="D369" t="s">
        <v>17</v>
      </c>
      <c r="E369" t="s">
        <v>23</v>
      </c>
      <c r="F369" t="s">
        <v>19</v>
      </c>
      <c r="G369">
        <v>2010</v>
      </c>
      <c r="H369">
        <v>8899.6</v>
      </c>
      <c r="I369">
        <v>4219.1000000000004</v>
      </c>
      <c r="J369">
        <v>4681.7</v>
      </c>
      <c r="K369">
        <v>2876.3</v>
      </c>
      <c r="L369" s="5">
        <v>0.32319430089999995</v>
      </c>
      <c r="M369">
        <v>6023.3</v>
      </c>
      <c r="N369" s="5">
        <v>0.67680569909999999</v>
      </c>
    </row>
    <row r="370" spans="1:14" x14ac:dyDescent="0.3">
      <c r="A370" t="s">
        <v>449</v>
      </c>
      <c r="B370" t="s">
        <v>15</v>
      </c>
      <c r="C370" t="s">
        <v>22</v>
      </c>
      <c r="D370" t="s">
        <v>17</v>
      </c>
      <c r="E370" t="s">
        <v>292</v>
      </c>
      <c r="F370" t="s">
        <v>49</v>
      </c>
      <c r="G370">
        <v>1995</v>
      </c>
      <c r="H370">
        <v>8848.2999999999993</v>
      </c>
      <c r="I370">
        <v>8855.1</v>
      </c>
      <c r="J370">
        <v>0</v>
      </c>
      <c r="K370">
        <v>8823.4</v>
      </c>
      <c r="L370" s="5">
        <v>0.99718590009999997</v>
      </c>
      <c r="M370">
        <v>24.9</v>
      </c>
      <c r="N370" s="5">
        <v>2.814099884E-3</v>
      </c>
    </row>
    <row r="371" spans="1:14" x14ac:dyDescent="0.3">
      <c r="A371" t="s">
        <v>450</v>
      </c>
      <c r="B371" t="s">
        <v>21</v>
      </c>
      <c r="C371" t="s">
        <v>22</v>
      </c>
      <c r="D371" t="s">
        <v>17</v>
      </c>
      <c r="E371" t="s">
        <v>23</v>
      </c>
      <c r="F371" t="s">
        <v>19</v>
      </c>
      <c r="G371">
        <v>2012</v>
      </c>
      <c r="H371">
        <v>8831</v>
      </c>
      <c r="I371">
        <v>6995.1</v>
      </c>
      <c r="J371">
        <v>1840.3</v>
      </c>
      <c r="K371">
        <v>6603.2</v>
      </c>
      <c r="L371" s="5">
        <v>0.74772958889999996</v>
      </c>
      <c r="M371">
        <v>2227.8000000000002</v>
      </c>
      <c r="N371" s="5">
        <v>0.25227041109999998</v>
      </c>
    </row>
    <row r="372" spans="1:14" x14ac:dyDescent="0.3">
      <c r="A372" t="s">
        <v>451</v>
      </c>
      <c r="B372" t="s">
        <v>21</v>
      </c>
      <c r="C372" t="s">
        <v>22</v>
      </c>
      <c r="D372" t="s">
        <v>17</v>
      </c>
      <c r="E372" t="s">
        <v>28</v>
      </c>
      <c r="F372" t="s">
        <v>19</v>
      </c>
      <c r="G372">
        <v>1985</v>
      </c>
      <c r="H372">
        <v>8828.7999999999993</v>
      </c>
      <c r="I372">
        <v>7564.4</v>
      </c>
      <c r="J372">
        <v>1267.8</v>
      </c>
      <c r="K372">
        <v>6762.6</v>
      </c>
      <c r="L372" s="5">
        <v>0.76597046030000004</v>
      </c>
      <c r="M372">
        <v>2066.1999999999998</v>
      </c>
      <c r="N372" s="5">
        <v>0.23402953969999998</v>
      </c>
    </row>
    <row r="373" spans="1:14" x14ac:dyDescent="0.3">
      <c r="A373" t="s">
        <v>452</v>
      </c>
      <c r="B373" t="s">
        <v>21</v>
      </c>
      <c r="C373" t="s">
        <v>148</v>
      </c>
      <c r="D373" t="s">
        <v>17</v>
      </c>
      <c r="E373" t="s">
        <v>23</v>
      </c>
      <c r="F373" t="s">
        <v>19</v>
      </c>
      <c r="G373">
        <v>2006</v>
      </c>
      <c r="H373">
        <v>8809.4</v>
      </c>
      <c r="I373">
        <v>5689.4</v>
      </c>
      <c r="J373">
        <v>3122.8</v>
      </c>
      <c r="K373">
        <v>4223.1000000000004</v>
      </c>
      <c r="L373" s="5">
        <v>0.47938565620000001</v>
      </c>
      <c r="M373">
        <v>4586.3</v>
      </c>
      <c r="N373" s="5">
        <v>0.52061434380000005</v>
      </c>
    </row>
    <row r="374" spans="1:14" x14ac:dyDescent="0.3">
      <c r="A374" t="s">
        <v>453</v>
      </c>
      <c r="B374" t="s">
        <v>15</v>
      </c>
      <c r="C374" t="s">
        <v>22</v>
      </c>
      <c r="D374" t="s">
        <v>25</v>
      </c>
      <c r="E374" t="s">
        <v>26</v>
      </c>
      <c r="F374" t="s">
        <v>19</v>
      </c>
      <c r="G374">
        <v>2010</v>
      </c>
      <c r="H374">
        <v>8801.6</v>
      </c>
      <c r="I374">
        <v>1220.5999999999999</v>
      </c>
      <c r="J374">
        <v>7581</v>
      </c>
      <c r="K374">
        <v>0</v>
      </c>
      <c r="L374" s="5">
        <v>0</v>
      </c>
      <c r="M374">
        <v>8801.6</v>
      </c>
      <c r="N374" s="5">
        <v>1</v>
      </c>
    </row>
    <row r="375" spans="1:14" x14ac:dyDescent="0.3">
      <c r="A375" t="s">
        <v>454</v>
      </c>
      <c r="B375" t="s">
        <v>21</v>
      </c>
      <c r="C375" t="s">
        <v>34</v>
      </c>
      <c r="D375" t="s">
        <v>17</v>
      </c>
      <c r="E375" t="s">
        <v>455</v>
      </c>
      <c r="F375" t="s">
        <v>19</v>
      </c>
      <c r="G375">
        <v>2003</v>
      </c>
      <c r="H375">
        <v>8780.4</v>
      </c>
      <c r="I375">
        <v>8238.2000000000007</v>
      </c>
      <c r="J375">
        <v>547.70000000000005</v>
      </c>
      <c r="K375">
        <v>7557.9</v>
      </c>
      <c r="L375" s="5">
        <v>0.86076944100000008</v>
      </c>
      <c r="M375">
        <v>1222.5</v>
      </c>
      <c r="N375" s="5">
        <v>0.139230559</v>
      </c>
    </row>
    <row r="376" spans="1:14" x14ac:dyDescent="0.3">
      <c r="A376" t="s">
        <v>456</v>
      </c>
      <c r="B376" t="s">
        <v>15</v>
      </c>
      <c r="C376" t="s">
        <v>22</v>
      </c>
      <c r="D376" t="s">
        <v>17</v>
      </c>
      <c r="E376" t="s">
        <v>23</v>
      </c>
      <c r="F376" t="s">
        <v>49</v>
      </c>
      <c r="G376">
        <v>2010</v>
      </c>
      <c r="H376">
        <v>8779.9</v>
      </c>
      <c r="I376">
        <v>7850.9</v>
      </c>
      <c r="J376">
        <v>932.8</v>
      </c>
      <c r="K376">
        <v>8155.1</v>
      </c>
      <c r="L376" s="5">
        <v>0.92883745829999997</v>
      </c>
      <c r="M376">
        <v>624.79999999999995</v>
      </c>
      <c r="N376" s="5">
        <v>7.1162541709999999E-2</v>
      </c>
    </row>
    <row r="377" spans="1:14" x14ac:dyDescent="0.3">
      <c r="A377" t="s">
        <v>457</v>
      </c>
      <c r="B377" t="s">
        <v>15</v>
      </c>
      <c r="C377" t="s">
        <v>72</v>
      </c>
      <c r="D377" t="s">
        <v>73</v>
      </c>
      <c r="E377" t="s">
        <v>74</v>
      </c>
      <c r="F377" t="s">
        <v>19</v>
      </c>
      <c r="G377">
        <v>2015</v>
      </c>
      <c r="H377">
        <v>8733</v>
      </c>
      <c r="I377">
        <v>2987.7</v>
      </c>
      <c r="J377">
        <v>5745.3</v>
      </c>
      <c r="K377">
        <v>6.8</v>
      </c>
      <c r="L377" s="5">
        <v>7.7865567389999999E-4</v>
      </c>
      <c r="M377">
        <v>8726.2000000000007</v>
      </c>
      <c r="N377" s="5">
        <v>0.99922134429999998</v>
      </c>
    </row>
    <row r="378" spans="1:14" x14ac:dyDescent="0.3">
      <c r="A378" t="s">
        <v>458</v>
      </c>
      <c r="B378" t="s">
        <v>15</v>
      </c>
      <c r="C378" t="s">
        <v>34</v>
      </c>
      <c r="D378" t="s">
        <v>17</v>
      </c>
      <c r="E378" t="s">
        <v>18</v>
      </c>
      <c r="F378" t="s">
        <v>19</v>
      </c>
      <c r="G378">
        <v>2015</v>
      </c>
      <c r="H378">
        <v>8715.2000000000007</v>
      </c>
      <c r="I378">
        <v>7648.8</v>
      </c>
      <c r="J378">
        <v>1071.5999999999999</v>
      </c>
      <c r="K378">
        <v>2526.6999999999998</v>
      </c>
      <c r="L378" s="5">
        <v>0.28991876259999999</v>
      </c>
      <c r="M378">
        <v>6188.5</v>
      </c>
      <c r="N378" s="5">
        <v>0.71008123740000006</v>
      </c>
    </row>
    <row r="379" spans="1:14" x14ac:dyDescent="0.3">
      <c r="A379" t="s">
        <v>459</v>
      </c>
      <c r="B379" t="s">
        <v>21</v>
      </c>
      <c r="C379" t="s">
        <v>16</v>
      </c>
      <c r="D379" t="s">
        <v>17</v>
      </c>
      <c r="E379" t="s">
        <v>23</v>
      </c>
      <c r="F379" t="s">
        <v>19</v>
      </c>
      <c r="G379">
        <v>2002</v>
      </c>
      <c r="H379">
        <v>8706.4</v>
      </c>
      <c r="I379">
        <v>8477.2999999999993</v>
      </c>
      <c r="J379">
        <v>233</v>
      </c>
      <c r="K379">
        <v>8083.8</v>
      </c>
      <c r="L379" s="5">
        <v>0.92848938709999995</v>
      </c>
      <c r="M379">
        <v>622.6</v>
      </c>
      <c r="N379" s="5">
        <v>7.1510612880000005E-2</v>
      </c>
    </row>
    <row r="380" spans="1:14" x14ac:dyDescent="0.3">
      <c r="A380" t="s">
        <v>460</v>
      </c>
      <c r="B380" t="s">
        <v>15</v>
      </c>
      <c r="C380" t="s">
        <v>461</v>
      </c>
      <c r="D380" t="s">
        <v>17</v>
      </c>
      <c r="E380" t="s">
        <v>61</v>
      </c>
      <c r="F380" t="s">
        <v>19</v>
      </c>
      <c r="G380">
        <v>2014</v>
      </c>
      <c r="H380">
        <v>8699.2000000000007</v>
      </c>
      <c r="I380">
        <v>8316.2000000000007</v>
      </c>
      <c r="J380">
        <v>386.2</v>
      </c>
      <c r="K380">
        <v>1923.6</v>
      </c>
      <c r="L380" s="5">
        <v>0.22112378150000001</v>
      </c>
      <c r="M380">
        <v>6775.6</v>
      </c>
      <c r="N380" s="5">
        <v>0.77887621849999999</v>
      </c>
    </row>
    <row r="381" spans="1:14" x14ac:dyDescent="0.3">
      <c r="A381" t="s">
        <v>462</v>
      </c>
      <c r="B381" t="s">
        <v>15</v>
      </c>
      <c r="C381" t="s">
        <v>22</v>
      </c>
      <c r="D381" t="s">
        <v>17</v>
      </c>
      <c r="E381" t="s">
        <v>52</v>
      </c>
      <c r="F381" t="s">
        <v>49</v>
      </c>
      <c r="G381">
        <v>2003</v>
      </c>
      <c r="H381">
        <v>8647.7999999999993</v>
      </c>
      <c r="I381">
        <v>8598.1</v>
      </c>
      <c r="J381">
        <v>54</v>
      </c>
      <c r="K381">
        <v>8555.2000000000007</v>
      </c>
      <c r="L381" s="5">
        <v>0.9892920743000001</v>
      </c>
      <c r="M381">
        <v>92.6</v>
      </c>
      <c r="N381" s="5">
        <v>1.0707925720000001E-2</v>
      </c>
    </row>
    <row r="382" spans="1:14" x14ac:dyDescent="0.3">
      <c r="A382" t="s">
        <v>463</v>
      </c>
      <c r="B382" t="s">
        <v>15</v>
      </c>
      <c r="C382" t="s">
        <v>90</v>
      </c>
      <c r="D382" t="s">
        <v>25</v>
      </c>
      <c r="E382" t="s">
        <v>91</v>
      </c>
      <c r="F382" t="s">
        <v>19</v>
      </c>
      <c r="G382">
        <v>1975</v>
      </c>
      <c r="H382">
        <v>8622.1</v>
      </c>
      <c r="I382">
        <v>8534</v>
      </c>
      <c r="J382">
        <v>98.1</v>
      </c>
      <c r="K382">
        <v>7271</v>
      </c>
      <c r="L382" s="5">
        <v>0.8432980363999999</v>
      </c>
      <c r="M382">
        <v>1351.1</v>
      </c>
      <c r="N382" s="5">
        <v>0.15670196359999999</v>
      </c>
    </row>
    <row r="383" spans="1:14" x14ac:dyDescent="0.3">
      <c r="A383" t="s">
        <v>464</v>
      </c>
      <c r="B383" t="s">
        <v>15</v>
      </c>
      <c r="C383" t="s">
        <v>90</v>
      </c>
      <c r="D383" t="s">
        <v>25</v>
      </c>
      <c r="E383" t="s">
        <v>83</v>
      </c>
      <c r="F383" t="s">
        <v>19</v>
      </c>
      <c r="G383">
        <v>1992</v>
      </c>
      <c r="H383">
        <v>8617.1</v>
      </c>
      <c r="I383">
        <v>7717.5</v>
      </c>
      <c r="J383">
        <v>899.6</v>
      </c>
      <c r="K383">
        <v>6368.3</v>
      </c>
      <c r="L383" s="5">
        <v>0.73903053229999993</v>
      </c>
      <c r="M383">
        <v>2248.8000000000002</v>
      </c>
      <c r="N383" s="5">
        <v>0.26096946770000001</v>
      </c>
    </row>
    <row r="384" spans="1:14" x14ac:dyDescent="0.3">
      <c r="A384" t="s">
        <v>465</v>
      </c>
      <c r="B384" t="s">
        <v>15</v>
      </c>
      <c r="C384" t="s">
        <v>34</v>
      </c>
      <c r="D384" t="s">
        <v>17</v>
      </c>
      <c r="E384" t="s">
        <v>58</v>
      </c>
      <c r="F384" t="s">
        <v>49</v>
      </c>
      <c r="G384">
        <v>2012</v>
      </c>
      <c r="H384">
        <v>8591.1</v>
      </c>
      <c r="I384">
        <v>8578.7000000000007</v>
      </c>
      <c r="J384">
        <v>15.4</v>
      </c>
      <c r="K384">
        <v>7995.8</v>
      </c>
      <c r="L384" s="5">
        <v>0.93070735989999998</v>
      </c>
      <c r="M384">
        <v>595.29999999999995</v>
      </c>
      <c r="N384" s="5">
        <v>6.9292640060000008E-2</v>
      </c>
    </row>
    <row r="385" spans="1:14" x14ac:dyDescent="0.3">
      <c r="A385" t="s">
        <v>466</v>
      </c>
      <c r="B385" t="s">
        <v>15</v>
      </c>
      <c r="C385" t="s">
        <v>72</v>
      </c>
      <c r="D385" t="s">
        <v>73</v>
      </c>
      <c r="E385" t="s">
        <v>74</v>
      </c>
      <c r="F385" t="s">
        <v>49</v>
      </c>
      <c r="G385">
        <v>2009</v>
      </c>
      <c r="H385">
        <v>8584.2000000000007</v>
      </c>
      <c r="I385">
        <v>6741.1</v>
      </c>
      <c r="J385">
        <v>1843.2</v>
      </c>
      <c r="K385">
        <v>20</v>
      </c>
      <c r="L385" s="5">
        <v>2.329861839E-3</v>
      </c>
      <c r="M385">
        <v>8564.2000000000007</v>
      </c>
      <c r="N385" s="5">
        <v>0.99767013820000006</v>
      </c>
    </row>
    <row r="386" spans="1:14" x14ac:dyDescent="0.3">
      <c r="A386" t="s">
        <v>467</v>
      </c>
      <c r="B386" t="s">
        <v>15</v>
      </c>
      <c r="C386" t="s">
        <v>22</v>
      </c>
      <c r="D386" t="s">
        <v>17</v>
      </c>
      <c r="E386" t="s">
        <v>18</v>
      </c>
      <c r="F386" t="s">
        <v>19</v>
      </c>
      <c r="G386">
        <v>2014</v>
      </c>
      <c r="H386">
        <v>8564.5</v>
      </c>
      <c r="I386">
        <v>5566.1</v>
      </c>
      <c r="J386">
        <v>3001.4</v>
      </c>
      <c r="K386">
        <v>3239</v>
      </c>
      <c r="L386" s="5">
        <v>0.37818903609999999</v>
      </c>
      <c r="M386">
        <v>5325.5</v>
      </c>
      <c r="N386" s="5">
        <v>0.62181096390000001</v>
      </c>
    </row>
    <row r="387" spans="1:14" x14ac:dyDescent="0.3">
      <c r="A387" t="s">
        <v>468</v>
      </c>
      <c r="B387" t="s">
        <v>15</v>
      </c>
      <c r="C387" t="s">
        <v>16</v>
      </c>
      <c r="D387" t="s">
        <v>17</v>
      </c>
      <c r="E387" t="s">
        <v>18</v>
      </c>
      <c r="F387" t="s">
        <v>19</v>
      </c>
      <c r="G387">
        <v>2017</v>
      </c>
      <c r="H387">
        <v>8564.4</v>
      </c>
      <c r="I387">
        <v>5619.6</v>
      </c>
      <c r="J387">
        <v>2944.9</v>
      </c>
      <c r="K387">
        <v>1852.6</v>
      </c>
      <c r="L387" s="5">
        <v>0.2163140442</v>
      </c>
      <c r="M387">
        <v>6711.8</v>
      </c>
      <c r="N387" s="5">
        <v>0.7836859558</v>
      </c>
    </row>
    <row r="388" spans="1:14" x14ac:dyDescent="0.3">
      <c r="A388" t="s">
        <v>469</v>
      </c>
      <c r="B388" t="s">
        <v>15</v>
      </c>
      <c r="C388" t="s">
        <v>22</v>
      </c>
      <c r="D388" t="s">
        <v>17</v>
      </c>
      <c r="E388" t="s">
        <v>52</v>
      </c>
      <c r="F388" t="s">
        <v>19</v>
      </c>
      <c r="G388">
        <v>2001</v>
      </c>
      <c r="H388">
        <v>8551.4</v>
      </c>
      <c r="I388">
        <v>8199.2999999999993</v>
      </c>
      <c r="J388">
        <v>355</v>
      </c>
      <c r="K388">
        <v>7907.6</v>
      </c>
      <c r="L388" s="5">
        <v>0.92471408190000004</v>
      </c>
      <c r="M388">
        <v>643.79999999999995</v>
      </c>
      <c r="N388" s="5">
        <v>7.5285918100000002E-2</v>
      </c>
    </row>
    <row r="389" spans="1:14" x14ac:dyDescent="0.3">
      <c r="A389" t="s">
        <v>470</v>
      </c>
      <c r="B389" t="s">
        <v>79</v>
      </c>
      <c r="C389" t="s">
        <v>46</v>
      </c>
      <c r="D389" t="s">
        <v>47</v>
      </c>
      <c r="E389" t="s">
        <v>48</v>
      </c>
      <c r="F389" t="s">
        <v>49</v>
      </c>
      <c r="G389">
        <v>2015</v>
      </c>
      <c r="H389">
        <v>8531.2999999999993</v>
      </c>
      <c r="I389">
        <v>8465.7000000000007</v>
      </c>
      <c r="J389">
        <v>70</v>
      </c>
      <c r="K389">
        <v>8284.9</v>
      </c>
      <c r="L389" s="5">
        <v>0.97111811800000003</v>
      </c>
      <c r="M389">
        <v>246.4</v>
      </c>
      <c r="N389" s="5">
        <v>2.8881882010000002E-2</v>
      </c>
    </row>
    <row r="390" spans="1:14" x14ac:dyDescent="0.3">
      <c r="A390" t="s">
        <v>471</v>
      </c>
      <c r="B390" t="s">
        <v>15</v>
      </c>
      <c r="C390" t="s">
        <v>205</v>
      </c>
      <c r="D390" t="s">
        <v>17</v>
      </c>
      <c r="E390" t="s">
        <v>52</v>
      </c>
      <c r="F390" t="s">
        <v>49</v>
      </c>
      <c r="G390">
        <v>2008</v>
      </c>
      <c r="H390">
        <v>8509.5</v>
      </c>
      <c r="I390">
        <v>8483.9</v>
      </c>
      <c r="J390">
        <v>29.2</v>
      </c>
      <c r="K390">
        <v>6435.4</v>
      </c>
      <c r="L390" s="5">
        <v>0.75626064990000008</v>
      </c>
      <c r="M390">
        <v>2074.1</v>
      </c>
      <c r="N390" s="5">
        <v>0.2437393501</v>
      </c>
    </row>
    <row r="391" spans="1:14" x14ac:dyDescent="0.3">
      <c r="A391" t="s">
        <v>472</v>
      </c>
      <c r="B391" t="s">
        <v>21</v>
      </c>
      <c r="C391" t="s">
        <v>223</v>
      </c>
      <c r="D391" t="s">
        <v>25</v>
      </c>
      <c r="E391" t="s">
        <v>23</v>
      </c>
      <c r="F391" t="s">
        <v>19</v>
      </c>
      <c r="G391">
        <v>2016</v>
      </c>
      <c r="H391">
        <v>8507.9</v>
      </c>
      <c r="I391">
        <v>5811.9</v>
      </c>
      <c r="J391">
        <v>2696</v>
      </c>
      <c r="K391">
        <v>1929.8</v>
      </c>
      <c r="L391" s="5">
        <v>0.22682448080000001</v>
      </c>
      <c r="M391">
        <v>6578.1</v>
      </c>
      <c r="N391" s="5">
        <v>0.77317551920000005</v>
      </c>
    </row>
    <row r="392" spans="1:14" x14ac:dyDescent="0.3">
      <c r="A392" t="s">
        <v>473</v>
      </c>
      <c r="B392" t="s">
        <v>79</v>
      </c>
      <c r="C392" t="s">
        <v>22</v>
      </c>
      <c r="D392" t="s">
        <v>17</v>
      </c>
      <c r="E392" t="s">
        <v>23</v>
      </c>
      <c r="F392" t="s">
        <v>49</v>
      </c>
      <c r="G392">
        <v>1996</v>
      </c>
      <c r="H392">
        <v>8485.9</v>
      </c>
      <c r="I392">
        <v>8144</v>
      </c>
      <c r="J392">
        <v>346</v>
      </c>
      <c r="K392">
        <v>8125.7</v>
      </c>
      <c r="L392" s="5">
        <v>0.95755311750000005</v>
      </c>
      <c r="M392">
        <v>360.2</v>
      </c>
      <c r="N392" s="5">
        <v>4.2446882480000003E-2</v>
      </c>
    </row>
    <row r="393" spans="1:14" x14ac:dyDescent="0.3">
      <c r="A393" t="s">
        <v>474</v>
      </c>
      <c r="B393" t="s">
        <v>15</v>
      </c>
      <c r="C393" t="s">
        <v>46</v>
      </c>
      <c r="D393" t="s">
        <v>47</v>
      </c>
      <c r="E393" t="s">
        <v>48</v>
      </c>
      <c r="F393" t="s">
        <v>19</v>
      </c>
      <c r="G393">
        <v>2013</v>
      </c>
      <c r="H393">
        <v>8472.9</v>
      </c>
      <c r="I393">
        <v>7819.3</v>
      </c>
      <c r="J393">
        <v>656.6</v>
      </c>
      <c r="K393">
        <v>6967.6</v>
      </c>
      <c r="L393" s="5">
        <v>0.82233945870000003</v>
      </c>
      <c r="M393">
        <v>1505.3</v>
      </c>
      <c r="N393" s="5">
        <v>0.1776605413</v>
      </c>
    </row>
    <row r="394" spans="1:14" x14ac:dyDescent="0.3">
      <c r="A394" t="s">
        <v>475</v>
      </c>
      <c r="B394" t="s">
        <v>15</v>
      </c>
      <c r="C394" t="s">
        <v>22</v>
      </c>
      <c r="D394" t="s">
        <v>25</v>
      </c>
      <c r="E394" t="s">
        <v>26</v>
      </c>
      <c r="F394" t="s">
        <v>49</v>
      </c>
      <c r="G394">
        <v>2004</v>
      </c>
      <c r="H394">
        <v>8457.4</v>
      </c>
      <c r="I394">
        <v>369.6</v>
      </c>
      <c r="J394">
        <v>8087.7</v>
      </c>
      <c r="K394">
        <v>1.3</v>
      </c>
      <c r="L394" s="5">
        <v>1.5371154260000001E-4</v>
      </c>
      <c r="M394">
        <v>8456.1</v>
      </c>
      <c r="N394" s="5">
        <v>0.99984628850000012</v>
      </c>
    </row>
    <row r="395" spans="1:14" x14ac:dyDescent="0.3">
      <c r="A395" t="s">
        <v>476</v>
      </c>
      <c r="B395" t="s">
        <v>15</v>
      </c>
      <c r="C395" t="s">
        <v>22</v>
      </c>
      <c r="D395" t="s">
        <v>17</v>
      </c>
      <c r="E395" t="s">
        <v>18</v>
      </c>
      <c r="F395" t="s">
        <v>19</v>
      </c>
      <c r="G395">
        <v>2018</v>
      </c>
      <c r="H395">
        <v>8453.7000000000007</v>
      </c>
      <c r="I395">
        <v>6568.5</v>
      </c>
      <c r="J395">
        <v>1885.2</v>
      </c>
      <c r="K395">
        <v>4039.2</v>
      </c>
      <c r="L395" s="5">
        <v>0.47780261899999998</v>
      </c>
      <c r="M395">
        <v>4414.5</v>
      </c>
      <c r="N395" s="5">
        <v>0.52219738100000002</v>
      </c>
    </row>
    <row r="396" spans="1:14" x14ac:dyDescent="0.3">
      <c r="A396" t="s">
        <v>477</v>
      </c>
      <c r="B396" t="s">
        <v>15</v>
      </c>
      <c r="C396" t="s">
        <v>478</v>
      </c>
      <c r="D396" t="s">
        <v>258</v>
      </c>
      <c r="E396" t="s">
        <v>18</v>
      </c>
      <c r="F396" t="s">
        <v>19</v>
      </c>
      <c r="G396">
        <v>2013</v>
      </c>
      <c r="H396">
        <v>8439.5</v>
      </c>
      <c r="I396">
        <v>6942.6</v>
      </c>
      <c r="J396">
        <v>1509.4</v>
      </c>
      <c r="K396">
        <v>3538.8</v>
      </c>
      <c r="L396" s="5">
        <v>0.41931394040000003</v>
      </c>
      <c r="M396">
        <v>4900.7</v>
      </c>
      <c r="N396" s="5">
        <v>0.58068605959999997</v>
      </c>
    </row>
    <row r="397" spans="1:14" x14ac:dyDescent="0.3">
      <c r="A397" t="s">
        <v>479</v>
      </c>
      <c r="B397" t="s">
        <v>15</v>
      </c>
      <c r="C397" t="s">
        <v>90</v>
      </c>
      <c r="D397" t="s">
        <v>25</v>
      </c>
      <c r="E397" t="s">
        <v>91</v>
      </c>
      <c r="F397" t="s">
        <v>49</v>
      </c>
      <c r="G397">
        <v>2010</v>
      </c>
      <c r="H397">
        <v>8433.7999999999993</v>
      </c>
      <c r="I397">
        <v>7838.5</v>
      </c>
      <c r="J397">
        <v>603.29999999999995</v>
      </c>
      <c r="K397">
        <v>7244.3</v>
      </c>
      <c r="L397" s="5">
        <v>0.8589603737</v>
      </c>
      <c r="M397">
        <v>1189.5</v>
      </c>
      <c r="N397" s="5">
        <v>0.1410396263</v>
      </c>
    </row>
    <row r="398" spans="1:14" x14ac:dyDescent="0.3">
      <c r="A398" t="s">
        <v>480</v>
      </c>
      <c r="B398" t="s">
        <v>21</v>
      </c>
      <c r="C398" t="s">
        <v>22</v>
      </c>
      <c r="D398" t="s">
        <v>17</v>
      </c>
      <c r="E398" t="s">
        <v>23</v>
      </c>
      <c r="F398" t="s">
        <v>19</v>
      </c>
      <c r="G398">
        <v>2017</v>
      </c>
      <c r="H398">
        <v>8382.9</v>
      </c>
      <c r="I398">
        <v>8387.7999999999993</v>
      </c>
      <c r="J398">
        <v>0</v>
      </c>
      <c r="K398">
        <v>8380.2999999999993</v>
      </c>
      <c r="L398" s="5">
        <v>0.9996898448</v>
      </c>
      <c r="M398">
        <v>2.6</v>
      </c>
      <c r="N398" s="5">
        <v>3.1015519689999999E-4</v>
      </c>
    </row>
    <row r="399" spans="1:14" x14ac:dyDescent="0.3">
      <c r="A399" t="s">
        <v>481</v>
      </c>
      <c r="B399" t="s">
        <v>15</v>
      </c>
      <c r="C399" t="s">
        <v>22</v>
      </c>
      <c r="D399" t="s">
        <v>17</v>
      </c>
      <c r="E399" t="s">
        <v>455</v>
      </c>
      <c r="F399" t="s">
        <v>19</v>
      </c>
      <c r="G399">
        <v>1962</v>
      </c>
      <c r="H399">
        <v>8371.5</v>
      </c>
      <c r="I399">
        <v>7723.5</v>
      </c>
      <c r="J399">
        <v>648</v>
      </c>
      <c r="K399">
        <v>7485.7</v>
      </c>
      <c r="L399" s="5">
        <v>0.89418861609999989</v>
      </c>
      <c r="M399">
        <v>885.8</v>
      </c>
      <c r="N399" s="5">
        <v>0.1058113839</v>
      </c>
    </row>
    <row r="400" spans="1:14" x14ac:dyDescent="0.3">
      <c r="A400" t="s">
        <v>482</v>
      </c>
      <c r="B400" t="s">
        <v>15</v>
      </c>
      <c r="C400" t="s">
        <v>22</v>
      </c>
      <c r="D400" t="s">
        <v>17</v>
      </c>
      <c r="E400" t="s">
        <v>18</v>
      </c>
      <c r="F400" t="s">
        <v>19</v>
      </c>
      <c r="G400">
        <v>1991</v>
      </c>
      <c r="H400">
        <v>8370.9</v>
      </c>
      <c r="I400">
        <v>1884.2</v>
      </c>
      <c r="J400">
        <v>6486.7</v>
      </c>
      <c r="K400">
        <v>175.8</v>
      </c>
      <c r="L400" s="5">
        <v>2.1001326019999999E-2</v>
      </c>
      <c r="M400">
        <v>8195.1</v>
      </c>
      <c r="N400" s="5">
        <v>0.97899867400000007</v>
      </c>
    </row>
    <row r="401" spans="1:14" x14ac:dyDescent="0.3">
      <c r="A401" t="s">
        <v>483</v>
      </c>
      <c r="B401" t="s">
        <v>15</v>
      </c>
      <c r="C401" t="s">
        <v>34</v>
      </c>
      <c r="D401" t="s">
        <v>17</v>
      </c>
      <c r="E401" t="s">
        <v>23</v>
      </c>
      <c r="F401" t="s">
        <v>19</v>
      </c>
      <c r="G401">
        <v>2003</v>
      </c>
      <c r="H401">
        <v>8366.2999999999993</v>
      </c>
      <c r="I401">
        <v>6159.1</v>
      </c>
      <c r="J401">
        <v>2210.1</v>
      </c>
      <c r="K401">
        <v>10.3</v>
      </c>
      <c r="L401" s="5">
        <v>1.2311296510000001E-3</v>
      </c>
      <c r="M401">
        <v>8356</v>
      </c>
      <c r="N401" s="5">
        <v>0.99876887030000006</v>
      </c>
    </row>
    <row r="402" spans="1:14" x14ac:dyDescent="0.3">
      <c r="A402" t="s">
        <v>484</v>
      </c>
      <c r="B402" t="s">
        <v>21</v>
      </c>
      <c r="C402" t="s">
        <v>22</v>
      </c>
      <c r="D402" t="s">
        <v>17</v>
      </c>
      <c r="E402" t="s">
        <v>23</v>
      </c>
      <c r="F402" t="s">
        <v>19</v>
      </c>
      <c r="G402">
        <v>2002</v>
      </c>
      <c r="H402">
        <v>8339.2999999999993</v>
      </c>
      <c r="I402">
        <v>7864.3</v>
      </c>
      <c r="J402">
        <v>477.4</v>
      </c>
      <c r="K402">
        <v>7297.4</v>
      </c>
      <c r="L402" s="5">
        <v>0.87506145599999996</v>
      </c>
      <c r="M402">
        <v>1041.9000000000001</v>
      </c>
      <c r="N402" s="5">
        <v>0.124938544</v>
      </c>
    </row>
    <row r="403" spans="1:14" x14ac:dyDescent="0.3">
      <c r="A403" t="s">
        <v>485</v>
      </c>
      <c r="B403" t="s">
        <v>15</v>
      </c>
      <c r="C403" t="s">
        <v>22</v>
      </c>
      <c r="D403" t="s">
        <v>17</v>
      </c>
      <c r="E403" t="s">
        <v>52</v>
      </c>
      <c r="F403" t="s">
        <v>49</v>
      </c>
      <c r="G403">
        <v>1989</v>
      </c>
      <c r="H403">
        <v>8330.4</v>
      </c>
      <c r="I403">
        <v>8328.6</v>
      </c>
      <c r="J403">
        <v>5.6</v>
      </c>
      <c r="K403">
        <v>8188.5</v>
      </c>
      <c r="L403" s="5">
        <v>0.982966004</v>
      </c>
      <c r="M403">
        <v>141.9</v>
      </c>
      <c r="N403" s="5">
        <v>1.703399597E-2</v>
      </c>
    </row>
    <row r="404" spans="1:14" x14ac:dyDescent="0.3">
      <c r="A404" t="s">
        <v>486</v>
      </c>
      <c r="B404" t="s">
        <v>15</v>
      </c>
      <c r="C404" t="s">
        <v>129</v>
      </c>
      <c r="D404" t="s">
        <v>130</v>
      </c>
      <c r="E404" t="s">
        <v>18</v>
      </c>
      <c r="F404" t="s">
        <v>19</v>
      </c>
      <c r="G404">
        <v>2006</v>
      </c>
      <c r="H404">
        <v>8326.7000000000007</v>
      </c>
      <c r="I404">
        <v>4696.3999999999996</v>
      </c>
      <c r="J404">
        <v>3630.4</v>
      </c>
      <c r="K404">
        <v>1125.8</v>
      </c>
      <c r="L404" s="5">
        <v>0.1352036221</v>
      </c>
      <c r="M404">
        <v>7200.9</v>
      </c>
      <c r="N404" s="5">
        <v>0.86479637789999997</v>
      </c>
    </row>
    <row r="405" spans="1:14" x14ac:dyDescent="0.3">
      <c r="A405" t="s">
        <v>487</v>
      </c>
      <c r="B405" t="s">
        <v>21</v>
      </c>
      <c r="C405" t="s">
        <v>129</v>
      </c>
      <c r="D405" t="s">
        <v>130</v>
      </c>
      <c r="E405" t="s">
        <v>488</v>
      </c>
      <c r="F405" t="s">
        <v>19</v>
      </c>
      <c r="G405">
        <v>1980</v>
      </c>
      <c r="H405">
        <v>8316.5</v>
      </c>
      <c r="I405">
        <v>8317.7999999999993</v>
      </c>
      <c r="J405">
        <v>0</v>
      </c>
      <c r="K405">
        <v>8289</v>
      </c>
      <c r="L405" s="5">
        <v>0.99669332049999992</v>
      </c>
      <c r="M405">
        <v>27.5</v>
      </c>
      <c r="N405" s="5">
        <v>3.3066794930000001E-3</v>
      </c>
    </row>
    <row r="406" spans="1:14" x14ac:dyDescent="0.3">
      <c r="A406" t="s">
        <v>489</v>
      </c>
      <c r="B406" t="s">
        <v>15</v>
      </c>
      <c r="C406" t="s">
        <v>223</v>
      </c>
      <c r="D406" t="s">
        <v>25</v>
      </c>
      <c r="E406" t="s">
        <v>18</v>
      </c>
      <c r="F406" t="s">
        <v>19</v>
      </c>
      <c r="G406">
        <v>2021</v>
      </c>
      <c r="H406">
        <v>8309.1</v>
      </c>
      <c r="I406">
        <v>5592</v>
      </c>
      <c r="J406">
        <v>2724.4</v>
      </c>
      <c r="K406">
        <v>3545.8</v>
      </c>
      <c r="L406" s="5">
        <v>0.42673695109999998</v>
      </c>
      <c r="M406">
        <v>4763.3</v>
      </c>
      <c r="N406" s="5">
        <v>0.57326304890000002</v>
      </c>
    </row>
    <row r="407" spans="1:14" x14ac:dyDescent="0.3">
      <c r="A407" t="s">
        <v>490</v>
      </c>
      <c r="B407" t="s">
        <v>15</v>
      </c>
      <c r="C407" t="s">
        <v>22</v>
      </c>
      <c r="D407" t="s">
        <v>25</v>
      </c>
      <c r="E407" t="s">
        <v>26</v>
      </c>
      <c r="F407" t="s">
        <v>19</v>
      </c>
      <c r="G407">
        <v>2019</v>
      </c>
      <c r="H407">
        <v>8282.2999999999993</v>
      </c>
      <c r="I407">
        <v>6707</v>
      </c>
      <c r="J407">
        <v>1607.4</v>
      </c>
      <c r="K407">
        <v>999.5</v>
      </c>
      <c r="L407" s="5">
        <v>0.12067903839999999</v>
      </c>
      <c r="M407">
        <v>7282.8</v>
      </c>
      <c r="N407" s="5">
        <v>0.87932096159999995</v>
      </c>
    </row>
    <row r="408" spans="1:14" x14ac:dyDescent="0.3">
      <c r="A408" t="s">
        <v>491</v>
      </c>
      <c r="B408" t="s">
        <v>15</v>
      </c>
      <c r="C408" t="s">
        <v>129</v>
      </c>
      <c r="D408" t="s">
        <v>17</v>
      </c>
      <c r="E408" t="s">
        <v>61</v>
      </c>
      <c r="F408" t="s">
        <v>19</v>
      </c>
      <c r="G408">
        <v>2013</v>
      </c>
      <c r="H408">
        <v>8278.7000000000007</v>
      </c>
      <c r="I408">
        <v>4898.7</v>
      </c>
      <c r="J408">
        <v>3389.6</v>
      </c>
      <c r="K408">
        <v>53.5</v>
      </c>
      <c r="L408" s="5">
        <v>6.4623672799999999E-3</v>
      </c>
      <c r="M408">
        <v>8225.2000000000007</v>
      </c>
      <c r="N408" s="5">
        <v>0.99353763270000006</v>
      </c>
    </row>
    <row r="409" spans="1:14" x14ac:dyDescent="0.3">
      <c r="A409" t="s">
        <v>492</v>
      </c>
      <c r="B409" t="s">
        <v>15</v>
      </c>
      <c r="C409" t="s">
        <v>205</v>
      </c>
      <c r="D409" t="s">
        <v>17</v>
      </c>
      <c r="E409" t="s">
        <v>23</v>
      </c>
      <c r="F409" t="s">
        <v>19</v>
      </c>
      <c r="G409">
        <v>2010</v>
      </c>
      <c r="H409">
        <v>8263</v>
      </c>
      <c r="I409">
        <v>3585.1</v>
      </c>
      <c r="J409">
        <v>4693.6000000000004</v>
      </c>
      <c r="K409">
        <v>6241</v>
      </c>
      <c r="L409" s="5">
        <v>0.75529468719999993</v>
      </c>
      <c r="M409">
        <v>2022</v>
      </c>
      <c r="N409" s="5">
        <v>0.24470531279999999</v>
      </c>
    </row>
    <row r="410" spans="1:14" x14ac:dyDescent="0.3">
      <c r="A410" t="s">
        <v>493</v>
      </c>
      <c r="B410" t="s">
        <v>15</v>
      </c>
      <c r="C410" t="s">
        <v>22</v>
      </c>
      <c r="D410" t="s">
        <v>17</v>
      </c>
      <c r="E410" t="s">
        <v>18</v>
      </c>
      <c r="F410" t="s">
        <v>19</v>
      </c>
      <c r="G410">
        <v>2017</v>
      </c>
      <c r="H410">
        <v>8240.2000000000007</v>
      </c>
      <c r="I410">
        <v>6845.4</v>
      </c>
      <c r="J410">
        <v>1394.8</v>
      </c>
      <c r="K410">
        <v>2320.6999999999998</v>
      </c>
      <c r="L410" s="5">
        <v>0.28163151380000001</v>
      </c>
      <c r="M410">
        <v>5919.5</v>
      </c>
      <c r="N410" s="5">
        <v>0.71836848619999993</v>
      </c>
    </row>
    <row r="411" spans="1:14" x14ac:dyDescent="0.3">
      <c r="A411" t="s">
        <v>494</v>
      </c>
      <c r="B411" t="s">
        <v>15</v>
      </c>
      <c r="C411" t="s">
        <v>22</v>
      </c>
      <c r="D411" t="s">
        <v>17</v>
      </c>
      <c r="E411" t="s">
        <v>18</v>
      </c>
      <c r="F411" t="s">
        <v>19</v>
      </c>
      <c r="G411">
        <v>1992</v>
      </c>
      <c r="H411">
        <v>8235.9</v>
      </c>
      <c r="I411">
        <v>1236.7</v>
      </c>
      <c r="J411">
        <v>6999.2</v>
      </c>
      <c r="K411">
        <v>228.2</v>
      </c>
      <c r="L411" s="5">
        <v>2.7707961490000002E-2</v>
      </c>
      <c r="M411">
        <v>8007.7</v>
      </c>
      <c r="N411" s="5">
        <v>0.97229203850000001</v>
      </c>
    </row>
    <row r="412" spans="1:14" x14ac:dyDescent="0.3">
      <c r="A412" t="s">
        <v>495</v>
      </c>
      <c r="B412" t="s">
        <v>15</v>
      </c>
      <c r="C412" t="s">
        <v>22</v>
      </c>
      <c r="D412" t="s">
        <v>25</v>
      </c>
      <c r="E412" t="s">
        <v>26</v>
      </c>
      <c r="F412" t="s">
        <v>19</v>
      </c>
      <c r="G412">
        <v>2014</v>
      </c>
      <c r="H412">
        <v>8216.5</v>
      </c>
      <c r="I412">
        <v>760.9</v>
      </c>
      <c r="J412">
        <v>7455.6</v>
      </c>
      <c r="K412">
        <v>196.8</v>
      </c>
      <c r="L412" s="5">
        <v>2.3951804300000001E-2</v>
      </c>
      <c r="M412">
        <v>8019.7</v>
      </c>
      <c r="N412" s="5">
        <v>0.97604819570000001</v>
      </c>
    </row>
    <row r="413" spans="1:14" x14ac:dyDescent="0.3">
      <c r="A413" t="s">
        <v>496</v>
      </c>
      <c r="B413" t="s">
        <v>15</v>
      </c>
      <c r="C413" t="s">
        <v>90</v>
      </c>
      <c r="D413" t="s">
        <v>25</v>
      </c>
      <c r="E413" t="s">
        <v>91</v>
      </c>
      <c r="F413" t="s">
        <v>19</v>
      </c>
      <c r="G413">
        <v>1966</v>
      </c>
      <c r="H413">
        <v>8205.4</v>
      </c>
      <c r="I413">
        <v>8009</v>
      </c>
      <c r="J413">
        <v>204.5</v>
      </c>
      <c r="K413">
        <v>7878.1</v>
      </c>
      <c r="L413" s="5">
        <v>0.96011163379999998</v>
      </c>
      <c r="M413">
        <v>327.3</v>
      </c>
      <c r="N413" s="5">
        <v>3.9888366199999997E-2</v>
      </c>
    </row>
    <row r="414" spans="1:14" x14ac:dyDescent="0.3">
      <c r="A414" t="s">
        <v>497</v>
      </c>
      <c r="B414" t="s">
        <v>15</v>
      </c>
      <c r="C414" t="s">
        <v>16</v>
      </c>
      <c r="D414" t="s">
        <v>17</v>
      </c>
      <c r="E414" t="s">
        <v>52</v>
      </c>
      <c r="F414" t="s">
        <v>49</v>
      </c>
      <c r="G414">
        <v>2003</v>
      </c>
      <c r="H414">
        <v>8203</v>
      </c>
      <c r="I414">
        <v>7983.1</v>
      </c>
      <c r="J414">
        <v>224.9</v>
      </c>
      <c r="K414">
        <v>7947.8</v>
      </c>
      <c r="L414" s="5">
        <v>0.9688894307</v>
      </c>
      <c r="M414">
        <v>255.2</v>
      </c>
      <c r="N414" s="5">
        <v>3.1110569300000002E-2</v>
      </c>
    </row>
    <row r="415" spans="1:14" x14ac:dyDescent="0.3">
      <c r="A415" t="s">
        <v>498</v>
      </c>
      <c r="B415" t="s">
        <v>79</v>
      </c>
      <c r="C415" t="s">
        <v>22</v>
      </c>
      <c r="D415" t="s">
        <v>17</v>
      </c>
      <c r="E415" t="s">
        <v>52</v>
      </c>
      <c r="F415" t="s">
        <v>49</v>
      </c>
      <c r="G415">
        <v>1973</v>
      </c>
      <c r="H415">
        <v>8200.1</v>
      </c>
      <c r="I415">
        <v>7224.1</v>
      </c>
      <c r="J415">
        <v>979.3</v>
      </c>
      <c r="K415">
        <v>7171.3</v>
      </c>
      <c r="L415" s="5">
        <v>0.87453811540000004</v>
      </c>
      <c r="M415">
        <v>1028.8</v>
      </c>
      <c r="N415" s="5">
        <v>0.12546188459999999</v>
      </c>
    </row>
    <row r="416" spans="1:14" x14ac:dyDescent="0.3">
      <c r="A416" t="s">
        <v>499</v>
      </c>
      <c r="B416" t="s">
        <v>15</v>
      </c>
      <c r="C416" t="s">
        <v>34</v>
      </c>
      <c r="D416" t="s">
        <v>17</v>
      </c>
      <c r="E416" t="s">
        <v>23</v>
      </c>
      <c r="F416" t="s">
        <v>49</v>
      </c>
      <c r="G416">
        <v>1963</v>
      </c>
      <c r="H416">
        <v>8197.2000000000007</v>
      </c>
      <c r="I416">
        <v>8080.4</v>
      </c>
      <c r="J416">
        <v>120.7</v>
      </c>
      <c r="K416">
        <v>7892.6</v>
      </c>
      <c r="L416" s="5">
        <v>0.96284097009999992</v>
      </c>
      <c r="M416">
        <v>304.60000000000002</v>
      </c>
      <c r="N416" s="5">
        <v>3.7159029910000002E-2</v>
      </c>
    </row>
    <row r="417" spans="1:14" x14ac:dyDescent="0.3">
      <c r="A417" t="s">
        <v>500</v>
      </c>
      <c r="B417" t="s">
        <v>15</v>
      </c>
      <c r="C417" t="s">
        <v>501</v>
      </c>
      <c r="D417" t="s">
        <v>73</v>
      </c>
      <c r="E417" t="s">
        <v>74</v>
      </c>
      <c r="F417" t="s">
        <v>19</v>
      </c>
      <c r="G417">
        <v>1980</v>
      </c>
      <c r="H417">
        <v>8186.9</v>
      </c>
      <c r="I417">
        <v>3408.5</v>
      </c>
      <c r="J417">
        <v>4789.5</v>
      </c>
      <c r="K417">
        <v>515.9</v>
      </c>
      <c r="L417" s="5">
        <v>6.3015304940000003E-2</v>
      </c>
      <c r="M417">
        <v>7671</v>
      </c>
      <c r="N417" s="5">
        <v>0.93698469509999993</v>
      </c>
    </row>
    <row r="418" spans="1:14" x14ac:dyDescent="0.3">
      <c r="A418" t="s">
        <v>502</v>
      </c>
      <c r="B418" t="s">
        <v>15</v>
      </c>
      <c r="C418" t="s">
        <v>43</v>
      </c>
      <c r="D418" t="s">
        <v>25</v>
      </c>
      <c r="E418" t="s">
        <v>83</v>
      </c>
      <c r="F418" t="s">
        <v>49</v>
      </c>
      <c r="G418">
        <v>2012</v>
      </c>
      <c r="H418">
        <v>8164.9</v>
      </c>
      <c r="I418">
        <v>7391.5</v>
      </c>
      <c r="J418">
        <v>775.8</v>
      </c>
      <c r="K418">
        <v>1621.1</v>
      </c>
      <c r="L418" s="5">
        <v>0.19854499140000001</v>
      </c>
      <c r="M418">
        <v>6543.8</v>
      </c>
      <c r="N418" s="5">
        <v>0.80145500859999996</v>
      </c>
    </row>
    <row r="419" spans="1:14" x14ac:dyDescent="0.3">
      <c r="A419" t="s">
        <v>503</v>
      </c>
      <c r="B419" t="s">
        <v>15</v>
      </c>
      <c r="C419" t="s">
        <v>22</v>
      </c>
      <c r="D419" t="s">
        <v>17</v>
      </c>
      <c r="E419" t="s">
        <v>18</v>
      </c>
      <c r="F419" t="s">
        <v>19</v>
      </c>
      <c r="G419">
        <v>2015</v>
      </c>
      <c r="H419">
        <v>8148</v>
      </c>
      <c r="I419">
        <v>7808</v>
      </c>
      <c r="J419">
        <v>340</v>
      </c>
      <c r="K419">
        <v>6616.8</v>
      </c>
      <c r="L419" s="5">
        <v>0.81207658319999998</v>
      </c>
      <c r="M419">
        <v>1531.2</v>
      </c>
      <c r="N419" s="5">
        <v>0.18792341679999999</v>
      </c>
    </row>
    <row r="420" spans="1:14" x14ac:dyDescent="0.3">
      <c r="A420" t="s">
        <v>504</v>
      </c>
      <c r="B420" t="s">
        <v>15</v>
      </c>
      <c r="C420" t="s">
        <v>95</v>
      </c>
      <c r="D420" t="s">
        <v>17</v>
      </c>
      <c r="E420" t="s">
        <v>273</v>
      </c>
      <c r="F420" t="s">
        <v>19</v>
      </c>
      <c r="G420">
        <v>2013</v>
      </c>
      <c r="H420">
        <v>8092.2</v>
      </c>
      <c r="I420">
        <v>7918.7</v>
      </c>
      <c r="J420">
        <v>176.9</v>
      </c>
      <c r="K420">
        <v>7804.3</v>
      </c>
      <c r="L420" s="5">
        <v>0.96442253030000002</v>
      </c>
      <c r="M420">
        <v>287.89999999999998</v>
      </c>
      <c r="N420" s="5">
        <v>3.557746966E-2</v>
      </c>
    </row>
    <row r="421" spans="1:14" x14ac:dyDescent="0.3">
      <c r="A421" t="s">
        <v>505</v>
      </c>
      <c r="B421" t="s">
        <v>15</v>
      </c>
      <c r="C421" t="s">
        <v>22</v>
      </c>
      <c r="D421" t="s">
        <v>17</v>
      </c>
      <c r="E421" t="s">
        <v>273</v>
      </c>
      <c r="F421" t="s">
        <v>19</v>
      </c>
      <c r="G421">
        <v>2007</v>
      </c>
      <c r="H421">
        <v>8065.4</v>
      </c>
      <c r="I421">
        <v>7161.8</v>
      </c>
      <c r="J421">
        <v>905.7</v>
      </c>
      <c r="K421">
        <v>4817</v>
      </c>
      <c r="L421" s="5">
        <v>0.59724254219999995</v>
      </c>
      <c r="M421">
        <v>3248.4</v>
      </c>
      <c r="N421" s="5">
        <v>0.4027574578</v>
      </c>
    </row>
    <row r="422" spans="1:14" x14ac:dyDescent="0.3">
      <c r="A422" t="s">
        <v>506</v>
      </c>
      <c r="B422" t="s">
        <v>15</v>
      </c>
      <c r="C422" t="s">
        <v>22</v>
      </c>
      <c r="D422" t="s">
        <v>25</v>
      </c>
      <c r="E422" t="s">
        <v>91</v>
      </c>
      <c r="F422" t="s">
        <v>49</v>
      </c>
      <c r="G422">
        <v>2020</v>
      </c>
      <c r="H422">
        <v>8063.4</v>
      </c>
      <c r="I422">
        <v>5540.4</v>
      </c>
      <c r="J422">
        <v>2525</v>
      </c>
      <c r="K422">
        <v>3610.3</v>
      </c>
      <c r="L422" s="5">
        <v>0.4477391671</v>
      </c>
      <c r="M422">
        <v>4453.1000000000004</v>
      </c>
      <c r="N422" s="5">
        <v>0.55226083289999994</v>
      </c>
    </row>
    <row r="423" spans="1:14" x14ac:dyDescent="0.3">
      <c r="A423" t="s">
        <v>507</v>
      </c>
      <c r="B423" t="s">
        <v>21</v>
      </c>
      <c r="C423" t="s">
        <v>46</v>
      </c>
      <c r="D423" t="s">
        <v>47</v>
      </c>
      <c r="E423" t="s">
        <v>48</v>
      </c>
      <c r="F423" t="s">
        <v>19</v>
      </c>
      <c r="G423">
        <v>2016</v>
      </c>
      <c r="H423">
        <v>8056.8</v>
      </c>
      <c r="I423">
        <v>4415.6000000000004</v>
      </c>
      <c r="J423">
        <v>3648.3</v>
      </c>
      <c r="K423">
        <v>3447</v>
      </c>
      <c r="L423" s="5">
        <v>0.42783735479999996</v>
      </c>
      <c r="M423">
        <v>4609.8</v>
      </c>
      <c r="N423" s="5">
        <v>0.57216264520000004</v>
      </c>
    </row>
    <row r="424" spans="1:14" x14ac:dyDescent="0.3">
      <c r="A424" t="s">
        <v>508</v>
      </c>
      <c r="B424" t="s">
        <v>15</v>
      </c>
      <c r="C424" t="s">
        <v>22</v>
      </c>
      <c r="D424" t="s">
        <v>17</v>
      </c>
      <c r="E424" t="s">
        <v>18</v>
      </c>
      <c r="F424" t="s">
        <v>19</v>
      </c>
      <c r="G424">
        <v>2011</v>
      </c>
      <c r="H424">
        <v>8043.6</v>
      </c>
      <c r="I424">
        <v>7678.7</v>
      </c>
      <c r="J424">
        <v>364.9</v>
      </c>
      <c r="K424">
        <v>6527.6</v>
      </c>
      <c r="L424" s="5">
        <v>0.81152717689999998</v>
      </c>
      <c r="M424">
        <v>1516</v>
      </c>
      <c r="N424" s="5">
        <v>0.18847282310000002</v>
      </c>
    </row>
    <row r="425" spans="1:14" x14ac:dyDescent="0.3">
      <c r="A425" t="s">
        <v>509</v>
      </c>
      <c r="B425" t="s">
        <v>15</v>
      </c>
      <c r="C425" t="s">
        <v>22</v>
      </c>
      <c r="D425" t="s">
        <v>17</v>
      </c>
      <c r="E425" t="s">
        <v>18</v>
      </c>
      <c r="F425" t="s">
        <v>49</v>
      </c>
      <c r="G425">
        <v>2013</v>
      </c>
      <c r="H425">
        <v>8030.3</v>
      </c>
      <c r="I425">
        <v>7270.4</v>
      </c>
      <c r="J425">
        <v>754.2</v>
      </c>
      <c r="K425">
        <v>4098.3999999999996</v>
      </c>
      <c r="L425" s="5">
        <v>0.510366985</v>
      </c>
      <c r="M425">
        <v>3931.9</v>
      </c>
      <c r="N425" s="5">
        <v>0.489633015</v>
      </c>
    </row>
    <row r="426" spans="1:14" x14ac:dyDescent="0.3">
      <c r="A426" t="s">
        <v>510</v>
      </c>
      <c r="B426" t="s">
        <v>21</v>
      </c>
      <c r="C426" t="s">
        <v>34</v>
      </c>
      <c r="D426" t="s">
        <v>17</v>
      </c>
      <c r="E426" t="s">
        <v>23</v>
      </c>
      <c r="F426" t="s">
        <v>19</v>
      </c>
      <c r="G426">
        <v>2014</v>
      </c>
      <c r="H426">
        <v>8019.9</v>
      </c>
      <c r="I426">
        <v>3097.3</v>
      </c>
      <c r="J426">
        <v>4922.6000000000004</v>
      </c>
      <c r="K426">
        <v>2755.3</v>
      </c>
      <c r="L426" s="5">
        <v>0.34355789969999995</v>
      </c>
      <c r="M426">
        <v>5264.6</v>
      </c>
      <c r="N426" s="5">
        <v>0.65644210029999994</v>
      </c>
    </row>
    <row r="427" spans="1:14" x14ac:dyDescent="0.3">
      <c r="A427" t="s">
        <v>511</v>
      </c>
      <c r="B427" t="s">
        <v>15</v>
      </c>
      <c r="C427" t="s">
        <v>34</v>
      </c>
      <c r="D427" t="s">
        <v>17</v>
      </c>
      <c r="E427" t="s">
        <v>52</v>
      </c>
      <c r="F427" t="s">
        <v>49</v>
      </c>
      <c r="G427">
        <v>1983</v>
      </c>
      <c r="H427">
        <v>8014.7</v>
      </c>
      <c r="I427">
        <v>8019.1</v>
      </c>
      <c r="J427">
        <v>0</v>
      </c>
      <c r="K427">
        <v>8014.7</v>
      </c>
      <c r="L427" s="5">
        <v>1</v>
      </c>
      <c r="M427">
        <v>0</v>
      </c>
      <c r="N427" s="5">
        <v>0</v>
      </c>
    </row>
    <row r="428" spans="1:14" x14ac:dyDescent="0.3">
      <c r="A428" t="s">
        <v>512</v>
      </c>
      <c r="B428" t="s">
        <v>15</v>
      </c>
      <c r="C428" t="s">
        <v>22</v>
      </c>
      <c r="D428" t="s">
        <v>17</v>
      </c>
      <c r="E428" t="s">
        <v>52</v>
      </c>
      <c r="F428" t="s">
        <v>49</v>
      </c>
      <c r="G428">
        <v>1972</v>
      </c>
      <c r="H428">
        <v>7987.3</v>
      </c>
      <c r="I428">
        <v>7990.9</v>
      </c>
      <c r="J428">
        <v>0</v>
      </c>
      <c r="K428">
        <v>7987.3</v>
      </c>
      <c r="L428" s="5">
        <v>1</v>
      </c>
      <c r="M428">
        <v>0</v>
      </c>
      <c r="N428" s="5">
        <v>0</v>
      </c>
    </row>
    <row r="429" spans="1:14" x14ac:dyDescent="0.3">
      <c r="A429" t="s">
        <v>513</v>
      </c>
      <c r="B429" t="s">
        <v>15</v>
      </c>
      <c r="C429" t="s">
        <v>34</v>
      </c>
      <c r="D429" t="s">
        <v>17</v>
      </c>
      <c r="E429" t="s">
        <v>52</v>
      </c>
      <c r="F429" t="s">
        <v>49</v>
      </c>
      <c r="G429">
        <v>1977</v>
      </c>
      <c r="H429">
        <v>7976.6</v>
      </c>
      <c r="I429">
        <v>7980.4</v>
      </c>
      <c r="J429">
        <v>0.6</v>
      </c>
      <c r="K429">
        <v>7960.2</v>
      </c>
      <c r="L429" s="5">
        <v>0.99794398619999991</v>
      </c>
      <c r="M429">
        <v>16.399999999999999</v>
      </c>
      <c r="N429" s="5">
        <v>2.0560138399999999E-3</v>
      </c>
    </row>
    <row r="430" spans="1:14" x14ac:dyDescent="0.3">
      <c r="A430" t="s">
        <v>514</v>
      </c>
      <c r="B430" t="s">
        <v>15</v>
      </c>
      <c r="C430" t="s">
        <v>34</v>
      </c>
      <c r="D430" t="s">
        <v>17</v>
      </c>
      <c r="E430" t="s">
        <v>23</v>
      </c>
      <c r="F430" t="s">
        <v>19</v>
      </c>
      <c r="G430">
        <v>1981</v>
      </c>
      <c r="H430">
        <v>7940.4</v>
      </c>
      <c r="I430">
        <v>7942.6</v>
      </c>
      <c r="J430">
        <v>0</v>
      </c>
      <c r="K430">
        <v>7116.9</v>
      </c>
      <c r="L430" s="5">
        <v>0.89628985949999995</v>
      </c>
      <c r="M430">
        <v>823.5</v>
      </c>
      <c r="N430" s="5">
        <v>0.10371014049999999</v>
      </c>
    </row>
    <row r="431" spans="1:14" x14ac:dyDescent="0.3">
      <c r="A431" t="s">
        <v>515</v>
      </c>
      <c r="B431" t="s">
        <v>15</v>
      </c>
      <c r="C431" t="s">
        <v>22</v>
      </c>
      <c r="D431" t="s">
        <v>17</v>
      </c>
      <c r="E431" t="s">
        <v>52</v>
      </c>
      <c r="F431" t="s">
        <v>49</v>
      </c>
      <c r="G431">
        <v>2001</v>
      </c>
      <c r="H431">
        <v>7934.8</v>
      </c>
      <c r="I431">
        <v>4641.5</v>
      </c>
      <c r="J431">
        <v>3299.4</v>
      </c>
      <c r="K431">
        <v>7901.6</v>
      </c>
      <c r="L431" s="5">
        <v>0.99581589960000005</v>
      </c>
      <c r="M431">
        <v>33.200000000000003</v>
      </c>
      <c r="N431" s="5">
        <v>4.1841004180000006E-3</v>
      </c>
    </row>
    <row r="432" spans="1:14" x14ac:dyDescent="0.3">
      <c r="A432" t="s">
        <v>516</v>
      </c>
      <c r="B432" t="s">
        <v>15</v>
      </c>
      <c r="C432" t="s">
        <v>517</v>
      </c>
      <c r="D432" t="s">
        <v>518</v>
      </c>
      <c r="E432" t="s">
        <v>23</v>
      </c>
      <c r="F432" t="s">
        <v>19</v>
      </c>
      <c r="G432">
        <v>2002</v>
      </c>
      <c r="H432">
        <v>7934.5</v>
      </c>
      <c r="I432">
        <v>2022.8</v>
      </c>
      <c r="J432">
        <v>5906</v>
      </c>
      <c r="K432">
        <v>723</v>
      </c>
      <c r="L432" s="5">
        <v>9.112105362999999E-2</v>
      </c>
      <c r="M432">
        <v>7211.5</v>
      </c>
      <c r="N432" s="5">
        <v>0.9088789464</v>
      </c>
    </row>
    <row r="433" spans="1:14" x14ac:dyDescent="0.3">
      <c r="A433" t="s">
        <v>519</v>
      </c>
      <c r="B433" t="s">
        <v>15</v>
      </c>
      <c r="C433" t="s">
        <v>43</v>
      </c>
      <c r="D433" t="s">
        <v>25</v>
      </c>
      <c r="E433" t="s">
        <v>26</v>
      </c>
      <c r="F433" t="s">
        <v>19</v>
      </c>
      <c r="G433">
        <v>2016</v>
      </c>
      <c r="H433">
        <v>7921.6</v>
      </c>
      <c r="I433">
        <v>7400.3</v>
      </c>
      <c r="J433">
        <v>508.4</v>
      </c>
      <c r="K433">
        <v>7.5</v>
      </c>
      <c r="L433" s="5">
        <v>9.4677842860000001E-4</v>
      </c>
      <c r="M433">
        <v>7914.1</v>
      </c>
      <c r="N433" s="5">
        <v>0.99905322159999999</v>
      </c>
    </row>
    <row r="434" spans="1:14" x14ac:dyDescent="0.3">
      <c r="A434" t="s">
        <v>520</v>
      </c>
      <c r="B434" t="s">
        <v>21</v>
      </c>
      <c r="C434" t="s">
        <v>34</v>
      </c>
      <c r="D434" t="s">
        <v>17</v>
      </c>
      <c r="E434" t="s">
        <v>455</v>
      </c>
      <c r="F434" t="s">
        <v>19</v>
      </c>
      <c r="G434">
        <v>2018</v>
      </c>
      <c r="H434">
        <v>7892.9</v>
      </c>
      <c r="I434">
        <v>7895.6</v>
      </c>
      <c r="J434">
        <v>0</v>
      </c>
      <c r="K434">
        <v>7164.5</v>
      </c>
      <c r="L434" s="5">
        <v>0.90771452819999998</v>
      </c>
      <c r="M434">
        <v>728.4</v>
      </c>
      <c r="N434" s="5">
        <v>9.2285471749999987E-2</v>
      </c>
    </row>
    <row r="435" spans="1:14" x14ac:dyDescent="0.3">
      <c r="A435" t="s">
        <v>521</v>
      </c>
      <c r="B435" t="s">
        <v>15</v>
      </c>
      <c r="C435" t="s">
        <v>34</v>
      </c>
      <c r="D435" t="s">
        <v>17</v>
      </c>
      <c r="E435" t="s">
        <v>52</v>
      </c>
      <c r="F435" t="s">
        <v>49</v>
      </c>
      <c r="G435">
        <v>1978</v>
      </c>
      <c r="H435">
        <v>7891.3</v>
      </c>
      <c r="I435">
        <v>7595.8</v>
      </c>
      <c r="J435">
        <v>298.7</v>
      </c>
      <c r="K435">
        <v>7890.8</v>
      </c>
      <c r="L435" s="5">
        <v>0.99993663909999997</v>
      </c>
      <c r="M435">
        <v>0.5</v>
      </c>
      <c r="N435" s="5">
        <v>6.3360916449999998E-5</v>
      </c>
    </row>
    <row r="436" spans="1:14" x14ac:dyDescent="0.3">
      <c r="A436" t="s">
        <v>522</v>
      </c>
      <c r="B436" t="s">
        <v>21</v>
      </c>
      <c r="C436" t="s">
        <v>46</v>
      </c>
      <c r="D436" t="s">
        <v>47</v>
      </c>
      <c r="E436" t="s">
        <v>48</v>
      </c>
      <c r="F436" t="s">
        <v>49</v>
      </c>
      <c r="G436">
        <v>2022</v>
      </c>
      <c r="H436">
        <v>7886.9</v>
      </c>
      <c r="I436">
        <v>7880.6</v>
      </c>
      <c r="J436">
        <v>5.3</v>
      </c>
      <c r="K436">
        <v>7566</v>
      </c>
      <c r="L436" s="5">
        <v>0.95931227730000002</v>
      </c>
      <c r="M436">
        <v>320.89999999999998</v>
      </c>
      <c r="N436" s="5">
        <v>4.0687722680000003E-2</v>
      </c>
    </row>
    <row r="437" spans="1:14" x14ac:dyDescent="0.3">
      <c r="A437" t="s">
        <v>523</v>
      </c>
      <c r="B437" t="s">
        <v>15</v>
      </c>
      <c r="C437" t="s">
        <v>22</v>
      </c>
      <c r="D437" t="s">
        <v>17</v>
      </c>
      <c r="E437" t="s">
        <v>292</v>
      </c>
      <c r="F437" t="s">
        <v>49</v>
      </c>
      <c r="G437">
        <v>2001</v>
      </c>
      <c r="H437">
        <v>7871.9</v>
      </c>
      <c r="I437">
        <v>7152</v>
      </c>
      <c r="J437">
        <v>706.6</v>
      </c>
      <c r="K437">
        <v>7858.1</v>
      </c>
      <c r="L437" s="5">
        <v>0.9982469289</v>
      </c>
      <c r="M437">
        <v>13.8</v>
      </c>
      <c r="N437" s="5">
        <v>1.7530710499999999E-3</v>
      </c>
    </row>
    <row r="438" spans="1:14" x14ac:dyDescent="0.3">
      <c r="A438" t="s">
        <v>524</v>
      </c>
      <c r="B438" t="s">
        <v>15</v>
      </c>
      <c r="C438" t="s">
        <v>525</v>
      </c>
      <c r="D438" t="s">
        <v>25</v>
      </c>
      <c r="E438" t="s">
        <v>83</v>
      </c>
      <c r="F438" t="s">
        <v>19</v>
      </c>
      <c r="G438">
        <v>1985</v>
      </c>
      <c r="H438">
        <v>7852.2</v>
      </c>
      <c r="I438">
        <v>7854.4</v>
      </c>
      <c r="J438">
        <v>4</v>
      </c>
      <c r="K438">
        <v>7062</v>
      </c>
      <c r="L438" s="5">
        <v>0.89936578280000001</v>
      </c>
      <c r="M438">
        <v>790.2</v>
      </c>
      <c r="N438" s="5">
        <v>0.10063421719999999</v>
      </c>
    </row>
    <row r="439" spans="1:14" x14ac:dyDescent="0.3">
      <c r="A439" t="s">
        <v>526</v>
      </c>
      <c r="B439" t="s">
        <v>79</v>
      </c>
      <c r="C439" t="s">
        <v>90</v>
      </c>
      <c r="D439" t="s">
        <v>25</v>
      </c>
      <c r="E439" t="s">
        <v>83</v>
      </c>
      <c r="F439" t="s">
        <v>49</v>
      </c>
      <c r="G439">
        <v>1982</v>
      </c>
      <c r="H439">
        <v>7838.9</v>
      </c>
      <c r="I439">
        <v>7528</v>
      </c>
      <c r="J439">
        <v>310.89999999999998</v>
      </c>
      <c r="K439">
        <v>2829.8</v>
      </c>
      <c r="L439" s="5">
        <v>0.36099452730000003</v>
      </c>
      <c r="M439">
        <v>5009.1000000000004</v>
      </c>
      <c r="N439" s="5">
        <v>0.63900547269999997</v>
      </c>
    </row>
    <row r="440" spans="1:14" x14ac:dyDescent="0.3">
      <c r="A440" t="s">
        <v>527</v>
      </c>
      <c r="B440" t="s">
        <v>15</v>
      </c>
      <c r="C440" t="s">
        <v>34</v>
      </c>
      <c r="D440" t="s">
        <v>17</v>
      </c>
      <c r="E440" t="s">
        <v>23</v>
      </c>
      <c r="F440" t="s">
        <v>19</v>
      </c>
      <c r="G440">
        <v>2015</v>
      </c>
      <c r="H440">
        <v>7824.1</v>
      </c>
      <c r="I440">
        <v>6895.6</v>
      </c>
      <c r="J440">
        <v>928.5</v>
      </c>
      <c r="K440">
        <v>6188.5</v>
      </c>
      <c r="L440" s="5">
        <v>0.79095359209999994</v>
      </c>
      <c r="M440">
        <v>1635.6</v>
      </c>
      <c r="N440" s="5">
        <v>0.20904640789999998</v>
      </c>
    </row>
    <row r="441" spans="1:14" x14ac:dyDescent="0.3">
      <c r="A441" t="s">
        <v>528</v>
      </c>
      <c r="B441" t="s">
        <v>15</v>
      </c>
      <c r="C441" t="s">
        <v>22</v>
      </c>
      <c r="D441" t="s">
        <v>17</v>
      </c>
      <c r="E441" t="s">
        <v>18</v>
      </c>
      <c r="F441" t="s">
        <v>19</v>
      </c>
      <c r="G441">
        <v>2008</v>
      </c>
      <c r="H441">
        <v>7817.3</v>
      </c>
      <c r="I441">
        <v>4590.3999999999996</v>
      </c>
      <c r="J441">
        <v>3227</v>
      </c>
      <c r="K441">
        <v>1655.2</v>
      </c>
      <c r="L441" s="5">
        <v>0.21173550970000002</v>
      </c>
      <c r="M441">
        <v>6162.1</v>
      </c>
      <c r="N441" s="5">
        <v>0.78826449030000001</v>
      </c>
    </row>
    <row r="442" spans="1:14" x14ac:dyDescent="0.3">
      <c r="A442" t="s">
        <v>529</v>
      </c>
      <c r="B442" t="s">
        <v>15</v>
      </c>
      <c r="C442" t="s">
        <v>22</v>
      </c>
      <c r="D442" t="s">
        <v>17</v>
      </c>
      <c r="E442" t="s">
        <v>28</v>
      </c>
      <c r="F442" t="s">
        <v>19</v>
      </c>
      <c r="G442">
        <v>2016</v>
      </c>
      <c r="H442">
        <v>7810.5</v>
      </c>
      <c r="I442">
        <v>3575.2</v>
      </c>
      <c r="J442">
        <v>4235.2</v>
      </c>
      <c r="K442">
        <v>2342.1</v>
      </c>
      <c r="L442" s="5">
        <v>0.29986556559999999</v>
      </c>
      <c r="M442">
        <v>5468.4</v>
      </c>
      <c r="N442" s="5">
        <v>0.70013443440000001</v>
      </c>
    </row>
    <row r="443" spans="1:14" x14ac:dyDescent="0.3">
      <c r="A443" t="s">
        <v>530</v>
      </c>
      <c r="B443" t="s">
        <v>15</v>
      </c>
      <c r="C443" t="s">
        <v>34</v>
      </c>
      <c r="D443" t="s">
        <v>17</v>
      </c>
      <c r="E443" t="s">
        <v>61</v>
      </c>
      <c r="F443" t="s">
        <v>49</v>
      </c>
      <c r="G443">
        <v>2010</v>
      </c>
      <c r="H443">
        <v>7787.8</v>
      </c>
      <c r="I443">
        <v>5988.8</v>
      </c>
      <c r="J443">
        <v>1801.6</v>
      </c>
      <c r="K443">
        <v>801</v>
      </c>
      <c r="L443" s="5">
        <v>0.1028531806</v>
      </c>
      <c r="M443">
        <v>6986.8</v>
      </c>
      <c r="N443" s="5">
        <v>0.89714681940000007</v>
      </c>
    </row>
    <row r="444" spans="1:14" x14ac:dyDescent="0.3">
      <c r="A444" t="s">
        <v>531</v>
      </c>
      <c r="B444" t="s">
        <v>15</v>
      </c>
      <c r="C444" t="s">
        <v>22</v>
      </c>
      <c r="D444" t="s">
        <v>25</v>
      </c>
      <c r="E444" t="s">
        <v>26</v>
      </c>
      <c r="F444" t="s">
        <v>19</v>
      </c>
      <c r="G444">
        <v>2014</v>
      </c>
      <c r="H444">
        <v>7785.3</v>
      </c>
      <c r="I444">
        <v>2720.2</v>
      </c>
      <c r="J444">
        <v>5065.1000000000004</v>
      </c>
      <c r="K444">
        <v>69.3</v>
      </c>
      <c r="L444" s="5">
        <v>8.9013910829999991E-3</v>
      </c>
      <c r="M444">
        <v>7716</v>
      </c>
      <c r="N444" s="5">
        <v>0.9910986088999999</v>
      </c>
    </row>
    <row r="445" spans="1:14" x14ac:dyDescent="0.3">
      <c r="A445" t="s">
        <v>532</v>
      </c>
      <c r="B445" t="s">
        <v>15</v>
      </c>
      <c r="C445" t="s">
        <v>148</v>
      </c>
      <c r="D445" t="s">
        <v>17</v>
      </c>
      <c r="E445" t="s">
        <v>61</v>
      </c>
      <c r="F445" t="s">
        <v>19</v>
      </c>
      <c r="G445">
        <v>2010</v>
      </c>
      <c r="H445">
        <v>7765.7</v>
      </c>
      <c r="I445">
        <v>4434.2</v>
      </c>
      <c r="J445">
        <v>3331.5</v>
      </c>
      <c r="K445">
        <v>781.1</v>
      </c>
      <c r="L445" s="5">
        <v>0.1005833344</v>
      </c>
      <c r="M445">
        <v>6984.6</v>
      </c>
      <c r="N445" s="5">
        <v>0.8994166656</v>
      </c>
    </row>
    <row r="446" spans="1:14" x14ac:dyDescent="0.3">
      <c r="A446" t="s">
        <v>533</v>
      </c>
      <c r="B446" t="s">
        <v>15</v>
      </c>
      <c r="C446" t="s">
        <v>534</v>
      </c>
      <c r="D446" t="s">
        <v>130</v>
      </c>
      <c r="E446" t="s">
        <v>18</v>
      </c>
      <c r="F446" t="s">
        <v>19</v>
      </c>
      <c r="G446">
        <v>2006</v>
      </c>
      <c r="H446">
        <v>7738.2</v>
      </c>
      <c r="I446">
        <v>3470.6</v>
      </c>
      <c r="J446">
        <v>4267.7</v>
      </c>
      <c r="K446">
        <v>1580.4</v>
      </c>
      <c r="L446" s="5">
        <v>0.20423354270000002</v>
      </c>
      <c r="M446">
        <v>6157.8</v>
      </c>
      <c r="N446" s="5">
        <v>0.79576645729999995</v>
      </c>
    </row>
    <row r="447" spans="1:14" x14ac:dyDescent="0.3">
      <c r="A447" t="s">
        <v>535</v>
      </c>
      <c r="B447" t="s">
        <v>15</v>
      </c>
      <c r="C447" t="s">
        <v>22</v>
      </c>
      <c r="D447" t="s">
        <v>17</v>
      </c>
      <c r="E447" t="s">
        <v>18</v>
      </c>
      <c r="F447" t="s">
        <v>19</v>
      </c>
      <c r="G447">
        <v>2000</v>
      </c>
      <c r="H447">
        <v>7729.6</v>
      </c>
      <c r="I447">
        <v>6445.6</v>
      </c>
      <c r="J447">
        <v>1287.7</v>
      </c>
      <c r="K447">
        <v>2355.3000000000002</v>
      </c>
      <c r="L447" s="5">
        <v>0.30471175740000001</v>
      </c>
      <c r="M447">
        <v>5374.3</v>
      </c>
      <c r="N447" s="5">
        <v>0.69528824259999988</v>
      </c>
    </row>
    <row r="448" spans="1:14" x14ac:dyDescent="0.3">
      <c r="A448" t="s">
        <v>536</v>
      </c>
      <c r="B448" t="s">
        <v>15</v>
      </c>
      <c r="C448" t="s">
        <v>34</v>
      </c>
      <c r="D448" t="s">
        <v>17</v>
      </c>
      <c r="E448" t="s">
        <v>52</v>
      </c>
      <c r="F448" t="s">
        <v>49</v>
      </c>
      <c r="G448">
        <v>2009</v>
      </c>
      <c r="H448">
        <v>7713.9</v>
      </c>
      <c r="I448">
        <v>7713.9</v>
      </c>
      <c r="J448">
        <v>0</v>
      </c>
      <c r="K448">
        <v>7200.6</v>
      </c>
      <c r="L448" s="5">
        <v>0.93345778400000001</v>
      </c>
      <c r="M448">
        <v>513.29999999999995</v>
      </c>
      <c r="N448" s="5">
        <v>6.6542216000000001E-2</v>
      </c>
    </row>
    <row r="449" spans="1:14" x14ac:dyDescent="0.3">
      <c r="A449" t="s">
        <v>537</v>
      </c>
      <c r="B449" t="s">
        <v>15</v>
      </c>
      <c r="C449" t="s">
        <v>72</v>
      </c>
      <c r="D449" t="s">
        <v>73</v>
      </c>
      <c r="E449" t="s">
        <v>23</v>
      </c>
      <c r="F449" t="s">
        <v>19</v>
      </c>
      <c r="G449">
        <v>1999</v>
      </c>
      <c r="H449">
        <v>7689.5</v>
      </c>
      <c r="I449">
        <v>107.1</v>
      </c>
      <c r="J449">
        <v>7598.6</v>
      </c>
      <c r="K449">
        <v>0</v>
      </c>
      <c r="L449" s="5">
        <v>0</v>
      </c>
      <c r="M449">
        <v>7689.5</v>
      </c>
      <c r="N449" s="5">
        <v>1</v>
      </c>
    </row>
    <row r="450" spans="1:14" x14ac:dyDescent="0.3">
      <c r="A450" t="s">
        <v>538</v>
      </c>
      <c r="B450" t="s">
        <v>15</v>
      </c>
      <c r="C450" t="s">
        <v>22</v>
      </c>
      <c r="D450" t="s">
        <v>17</v>
      </c>
      <c r="E450" t="s">
        <v>52</v>
      </c>
      <c r="F450" t="s">
        <v>49</v>
      </c>
      <c r="G450">
        <v>1991</v>
      </c>
      <c r="H450">
        <v>7673.1</v>
      </c>
      <c r="I450">
        <v>7673.1</v>
      </c>
      <c r="J450">
        <v>0</v>
      </c>
      <c r="K450">
        <v>7659.2</v>
      </c>
      <c r="L450" s="5">
        <v>0.99818847659999999</v>
      </c>
      <c r="M450">
        <v>13.9</v>
      </c>
      <c r="N450" s="5">
        <v>1.811523374E-3</v>
      </c>
    </row>
    <row r="451" spans="1:14" x14ac:dyDescent="0.3">
      <c r="A451" t="s">
        <v>539</v>
      </c>
      <c r="B451" t="s">
        <v>15</v>
      </c>
      <c r="C451" t="s">
        <v>22</v>
      </c>
      <c r="D451" t="s">
        <v>25</v>
      </c>
      <c r="E451" t="s">
        <v>26</v>
      </c>
      <c r="F451" t="s">
        <v>19</v>
      </c>
      <c r="G451">
        <v>2004</v>
      </c>
      <c r="H451">
        <v>7661.6</v>
      </c>
      <c r="I451">
        <v>1713.9</v>
      </c>
      <c r="J451">
        <v>5947.7</v>
      </c>
      <c r="K451">
        <v>560.9</v>
      </c>
      <c r="L451" s="5">
        <v>7.3209251330000003E-2</v>
      </c>
      <c r="M451">
        <v>7100.7</v>
      </c>
      <c r="N451" s="5">
        <v>0.92679074869999989</v>
      </c>
    </row>
    <row r="452" spans="1:14" x14ac:dyDescent="0.3">
      <c r="A452" t="s">
        <v>540</v>
      </c>
      <c r="B452" t="s">
        <v>15</v>
      </c>
      <c r="C452" t="s">
        <v>43</v>
      </c>
      <c r="D452" t="s">
        <v>25</v>
      </c>
      <c r="E452" t="s">
        <v>26</v>
      </c>
      <c r="F452" t="s">
        <v>19</v>
      </c>
      <c r="G452">
        <v>2017</v>
      </c>
      <c r="H452">
        <v>7645.2</v>
      </c>
      <c r="I452">
        <v>4203.6000000000004</v>
      </c>
      <c r="J452">
        <v>3448.5</v>
      </c>
      <c r="K452">
        <v>1809.6</v>
      </c>
      <c r="L452" s="5">
        <v>0.23669753570000002</v>
      </c>
      <c r="M452">
        <v>5835.6</v>
      </c>
      <c r="N452" s="5">
        <v>0.76330246430000004</v>
      </c>
    </row>
    <row r="453" spans="1:14" x14ac:dyDescent="0.3">
      <c r="A453" t="s">
        <v>541</v>
      </c>
      <c r="B453" t="s">
        <v>21</v>
      </c>
      <c r="C453" t="s">
        <v>16</v>
      </c>
      <c r="D453" t="s">
        <v>17</v>
      </c>
      <c r="E453" t="s">
        <v>23</v>
      </c>
      <c r="F453" t="s">
        <v>19</v>
      </c>
      <c r="G453">
        <v>2000</v>
      </c>
      <c r="H453">
        <v>7628.1</v>
      </c>
      <c r="I453">
        <v>6657.6</v>
      </c>
      <c r="J453">
        <v>974.8</v>
      </c>
      <c r="K453">
        <v>3569</v>
      </c>
      <c r="L453" s="5">
        <v>0.46787535560000004</v>
      </c>
      <c r="M453">
        <v>4059.1</v>
      </c>
      <c r="N453" s="5">
        <v>0.53212464439999996</v>
      </c>
    </row>
    <row r="454" spans="1:14" x14ac:dyDescent="0.3">
      <c r="A454" t="s">
        <v>542</v>
      </c>
      <c r="B454" t="s">
        <v>15</v>
      </c>
      <c r="C454" t="s">
        <v>167</v>
      </c>
      <c r="D454" t="s">
        <v>168</v>
      </c>
      <c r="E454" t="s">
        <v>83</v>
      </c>
      <c r="F454" t="s">
        <v>19</v>
      </c>
      <c r="G454">
        <v>2003</v>
      </c>
      <c r="H454">
        <v>7618.8</v>
      </c>
      <c r="I454">
        <v>5257.8</v>
      </c>
      <c r="J454">
        <v>2361</v>
      </c>
      <c r="K454">
        <v>2908.3</v>
      </c>
      <c r="L454" s="5">
        <v>0.38172678110000002</v>
      </c>
      <c r="M454">
        <v>4710.5</v>
      </c>
      <c r="N454" s="5">
        <v>0.61827321889999998</v>
      </c>
    </row>
    <row r="455" spans="1:14" x14ac:dyDescent="0.3">
      <c r="A455" t="s">
        <v>543</v>
      </c>
      <c r="B455" t="s">
        <v>15</v>
      </c>
      <c r="C455" t="s">
        <v>22</v>
      </c>
      <c r="D455" t="s">
        <v>17</v>
      </c>
      <c r="E455" t="s">
        <v>292</v>
      </c>
      <c r="F455" t="s">
        <v>49</v>
      </c>
      <c r="G455">
        <v>2000</v>
      </c>
      <c r="H455">
        <v>7612.3</v>
      </c>
      <c r="I455">
        <v>7614.9</v>
      </c>
      <c r="J455">
        <v>0</v>
      </c>
      <c r="K455">
        <v>6849.1</v>
      </c>
      <c r="L455" s="5">
        <v>0.89974120830000004</v>
      </c>
      <c r="M455">
        <v>763.2</v>
      </c>
      <c r="N455" s="5">
        <v>0.1002587917</v>
      </c>
    </row>
    <row r="456" spans="1:14" x14ac:dyDescent="0.3">
      <c r="A456" t="s">
        <v>544</v>
      </c>
      <c r="B456" t="s">
        <v>21</v>
      </c>
      <c r="C456" t="s">
        <v>22</v>
      </c>
      <c r="D456" t="s">
        <v>17</v>
      </c>
      <c r="E456" t="s">
        <v>28</v>
      </c>
      <c r="F456" t="s">
        <v>19</v>
      </c>
      <c r="G456">
        <v>2016</v>
      </c>
      <c r="H456">
        <v>7608.2</v>
      </c>
      <c r="I456">
        <v>3801.5</v>
      </c>
      <c r="J456">
        <v>3806.7</v>
      </c>
      <c r="K456">
        <v>2191.8000000000002</v>
      </c>
      <c r="L456" s="5">
        <v>0.28808390950000001</v>
      </c>
      <c r="M456">
        <v>5416.4</v>
      </c>
      <c r="N456" s="5">
        <v>0.71191609049999993</v>
      </c>
    </row>
    <row r="457" spans="1:14" x14ac:dyDescent="0.3">
      <c r="A457" t="s">
        <v>545</v>
      </c>
      <c r="B457" t="s">
        <v>21</v>
      </c>
      <c r="C457" t="s">
        <v>34</v>
      </c>
      <c r="D457" t="s">
        <v>17</v>
      </c>
      <c r="E457" t="s">
        <v>23</v>
      </c>
      <c r="F457" t="s">
        <v>19</v>
      </c>
      <c r="G457">
        <v>2012</v>
      </c>
      <c r="H457">
        <v>7596.7</v>
      </c>
      <c r="I457">
        <v>3575.7</v>
      </c>
      <c r="J457">
        <v>4021</v>
      </c>
      <c r="K457">
        <v>2786.1</v>
      </c>
      <c r="L457" s="5">
        <v>0.36675135259999997</v>
      </c>
      <c r="M457">
        <v>4810.6000000000004</v>
      </c>
      <c r="N457" s="5">
        <v>0.63324864739999998</v>
      </c>
    </row>
    <row r="458" spans="1:14" x14ac:dyDescent="0.3">
      <c r="A458" t="s">
        <v>546</v>
      </c>
      <c r="B458" t="s">
        <v>15</v>
      </c>
      <c r="C458" t="s">
        <v>22</v>
      </c>
      <c r="D458" t="s">
        <v>17</v>
      </c>
      <c r="E458" t="s">
        <v>18</v>
      </c>
      <c r="F458" t="s">
        <v>19</v>
      </c>
      <c r="G458">
        <v>2007</v>
      </c>
      <c r="H458">
        <v>7589.1</v>
      </c>
      <c r="I458">
        <v>6273.4</v>
      </c>
      <c r="J458">
        <v>1315.7</v>
      </c>
      <c r="K458">
        <v>5418.2</v>
      </c>
      <c r="L458" s="5">
        <v>0.71394500010000006</v>
      </c>
      <c r="M458">
        <v>2170.9</v>
      </c>
      <c r="N458" s="5">
        <v>0.2860549999</v>
      </c>
    </row>
    <row r="459" spans="1:14" x14ac:dyDescent="0.3">
      <c r="A459" t="s">
        <v>547</v>
      </c>
      <c r="B459" t="s">
        <v>21</v>
      </c>
      <c r="C459" t="s">
        <v>548</v>
      </c>
      <c r="D459" t="s">
        <v>17</v>
      </c>
      <c r="E459" t="s">
        <v>52</v>
      </c>
      <c r="F459" t="s">
        <v>19</v>
      </c>
      <c r="G459">
        <v>2017</v>
      </c>
      <c r="H459">
        <v>7552.8</v>
      </c>
      <c r="I459">
        <v>5418.1</v>
      </c>
      <c r="J459">
        <v>2144.1</v>
      </c>
      <c r="K459">
        <v>4710</v>
      </c>
      <c r="L459" s="5">
        <v>0.62360978709999992</v>
      </c>
      <c r="M459">
        <v>2842.8</v>
      </c>
      <c r="N459" s="5">
        <v>0.37639021290000002</v>
      </c>
    </row>
    <row r="460" spans="1:14" x14ac:dyDescent="0.3">
      <c r="A460" t="s">
        <v>549</v>
      </c>
      <c r="B460" t="s">
        <v>15</v>
      </c>
      <c r="C460" t="s">
        <v>72</v>
      </c>
      <c r="D460" t="s">
        <v>550</v>
      </c>
      <c r="E460" t="s">
        <v>18</v>
      </c>
      <c r="F460" t="s">
        <v>19</v>
      </c>
      <c r="G460">
        <v>2014</v>
      </c>
      <c r="H460">
        <v>7550.3</v>
      </c>
      <c r="I460">
        <v>6212.4</v>
      </c>
      <c r="J460">
        <v>1334.7</v>
      </c>
      <c r="K460">
        <v>1537.2</v>
      </c>
      <c r="L460" s="5">
        <v>0.2035945592</v>
      </c>
      <c r="M460">
        <v>6013.1</v>
      </c>
      <c r="N460" s="5">
        <v>0.79640544079999998</v>
      </c>
    </row>
    <row r="461" spans="1:14" x14ac:dyDescent="0.3">
      <c r="A461" t="s">
        <v>551</v>
      </c>
      <c r="B461" t="s">
        <v>21</v>
      </c>
      <c r="C461" t="s">
        <v>16</v>
      </c>
      <c r="D461" t="s">
        <v>258</v>
      </c>
      <c r="E461" t="s">
        <v>23</v>
      </c>
      <c r="F461" t="s">
        <v>19</v>
      </c>
      <c r="G461">
        <v>1981</v>
      </c>
      <c r="H461">
        <v>7543.1</v>
      </c>
      <c r="I461">
        <v>7093.1</v>
      </c>
      <c r="J461">
        <v>450</v>
      </c>
      <c r="K461">
        <v>6268.7</v>
      </c>
      <c r="L461" s="5">
        <v>0.8310508942</v>
      </c>
      <c r="M461">
        <v>1274.4000000000001</v>
      </c>
      <c r="N461" s="5">
        <v>0.1689491058</v>
      </c>
    </row>
    <row r="462" spans="1:14" x14ac:dyDescent="0.3">
      <c r="A462" t="s">
        <v>552</v>
      </c>
      <c r="B462" t="s">
        <v>15</v>
      </c>
      <c r="C462" t="s">
        <v>16</v>
      </c>
      <c r="D462" t="s">
        <v>17</v>
      </c>
      <c r="E462" t="s">
        <v>52</v>
      </c>
      <c r="F462" t="s">
        <v>19</v>
      </c>
      <c r="G462">
        <v>1980</v>
      </c>
      <c r="H462">
        <v>7503.2</v>
      </c>
      <c r="I462">
        <v>5958.2</v>
      </c>
      <c r="J462">
        <v>1568.1</v>
      </c>
      <c r="K462">
        <v>6592.7</v>
      </c>
      <c r="L462" s="5">
        <v>0.87865177520000004</v>
      </c>
      <c r="M462">
        <v>910.5</v>
      </c>
      <c r="N462" s="5">
        <v>0.1213482248</v>
      </c>
    </row>
    <row r="463" spans="1:14" x14ac:dyDescent="0.3">
      <c r="A463" t="s">
        <v>553</v>
      </c>
      <c r="B463" t="s">
        <v>15</v>
      </c>
      <c r="C463" t="s">
        <v>46</v>
      </c>
      <c r="D463" t="s">
        <v>47</v>
      </c>
      <c r="E463" t="s">
        <v>48</v>
      </c>
      <c r="F463" t="s">
        <v>49</v>
      </c>
      <c r="G463">
        <v>2020</v>
      </c>
      <c r="H463">
        <v>7486.2</v>
      </c>
      <c r="I463">
        <v>7178.8</v>
      </c>
      <c r="J463">
        <v>328.1</v>
      </c>
      <c r="K463">
        <v>7290.2</v>
      </c>
      <c r="L463" s="5">
        <v>0.97381849269999998</v>
      </c>
      <c r="M463">
        <v>196</v>
      </c>
      <c r="N463" s="5">
        <v>2.6181507310000001E-2</v>
      </c>
    </row>
    <row r="464" spans="1:14" x14ac:dyDescent="0.3">
      <c r="A464" t="s">
        <v>554</v>
      </c>
      <c r="B464" t="s">
        <v>15</v>
      </c>
      <c r="C464" t="s">
        <v>22</v>
      </c>
      <c r="D464" t="s">
        <v>17</v>
      </c>
      <c r="E464" t="s">
        <v>58</v>
      </c>
      <c r="F464" t="s">
        <v>19</v>
      </c>
      <c r="G464">
        <v>2017</v>
      </c>
      <c r="H464">
        <v>7485.1</v>
      </c>
      <c r="I464">
        <v>6757.7</v>
      </c>
      <c r="J464">
        <v>735.7</v>
      </c>
      <c r="K464">
        <v>6205.8</v>
      </c>
      <c r="L464" s="5">
        <v>0.82908711970000004</v>
      </c>
      <c r="M464">
        <v>1279.3</v>
      </c>
      <c r="N464" s="5">
        <v>0.17091288030000001</v>
      </c>
    </row>
    <row r="465" spans="1:14" x14ac:dyDescent="0.3">
      <c r="A465" t="s">
        <v>555</v>
      </c>
      <c r="B465" t="s">
        <v>21</v>
      </c>
      <c r="C465" t="s">
        <v>167</v>
      </c>
      <c r="D465" t="s">
        <v>168</v>
      </c>
      <c r="E465" t="s">
        <v>169</v>
      </c>
      <c r="F465" t="s">
        <v>19</v>
      </c>
      <c r="G465">
        <v>2021</v>
      </c>
      <c r="H465">
        <v>7467.3</v>
      </c>
      <c r="I465">
        <v>7464.6</v>
      </c>
      <c r="J465">
        <v>26</v>
      </c>
      <c r="K465">
        <v>1330.8</v>
      </c>
      <c r="L465" s="5">
        <v>0.17821702619999999</v>
      </c>
      <c r="M465">
        <v>6136.5</v>
      </c>
      <c r="N465" s="5">
        <v>0.82178297379999998</v>
      </c>
    </row>
    <row r="466" spans="1:14" x14ac:dyDescent="0.3">
      <c r="A466" t="s">
        <v>556</v>
      </c>
      <c r="B466" t="s">
        <v>15</v>
      </c>
      <c r="C466" t="s">
        <v>22</v>
      </c>
      <c r="D466" t="s">
        <v>17</v>
      </c>
      <c r="E466" t="s">
        <v>23</v>
      </c>
      <c r="F466" t="s">
        <v>49</v>
      </c>
      <c r="G466">
        <v>2014</v>
      </c>
      <c r="H466">
        <v>7453.2</v>
      </c>
      <c r="I466">
        <v>2524.9</v>
      </c>
      <c r="J466">
        <v>4942.3999999999996</v>
      </c>
      <c r="K466">
        <v>6424.3</v>
      </c>
      <c r="L466" s="5">
        <v>0.86195191329999998</v>
      </c>
      <c r="M466">
        <v>1028.9000000000001</v>
      </c>
      <c r="N466" s="5">
        <v>0.13804808669999999</v>
      </c>
    </row>
    <row r="467" spans="1:14" x14ac:dyDescent="0.3">
      <c r="A467" t="s">
        <v>557</v>
      </c>
      <c r="B467" t="s">
        <v>15</v>
      </c>
      <c r="C467" t="s">
        <v>22</v>
      </c>
      <c r="D467" t="s">
        <v>17</v>
      </c>
      <c r="E467" t="s">
        <v>99</v>
      </c>
      <c r="F467" t="s">
        <v>19</v>
      </c>
      <c r="G467">
        <v>1955</v>
      </c>
      <c r="H467">
        <v>7450.6</v>
      </c>
      <c r="I467">
        <v>6491.8</v>
      </c>
      <c r="J467">
        <v>961.4</v>
      </c>
      <c r="K467">
        <v>5866.4</v>
      </c>
      <c r="L467" s="5">
        <v>0.78737282899999994</v>
      </c>
      <c r="M467">
        <v>1584.2</v>
      </c>
      <c r="N467" s="5">
        <v>0.212627171</v>
      </c>
    </row>
    <row r="468" spans="1:14" x14ac:dyDescent="0.3">
      <c r="A468" t="s">
        <v>558</v>
      </c>
      <c r="B468" t="s">
        <v>15</v>
      </c>
      <c r="C468" t="s">
        <v>22</v>
      </c>
      <c r="D468" t="s">
        <v>17</v>
      </c>
      <c r="E468" t="s">
        <v>18</v>
      </c>
      <c r="F468" t="s">
        <v>19</v>
      </c>
      <c r="G468">
        <v>2007</v>
      </c>
      <c r="H468">
        <v>7431.9</v>
      </c>
      <c r="I468">
        <v>6391.9</v>
      </c>
      <c r="J468">
        <v>1058.7</v>
      </c>
      <c r="K468">
        <v>528.20000000000005</v>
      </c>
      <c r="L468" s="5">
        <v>7.1072000430000004E-2</v>
      </c>
      <c r="M468">
        <v>6903.7</v>
      </c>
      <c r="N468" s="5">
        <v>0.92892799960000005</v>
      </c>
    </row>
    <row r="469" spans="1:14" x14ac:dyDescent="0.3">
      <c r="A469" t="s">
        <v>559</v>
      </c>
      <c r="B469" t="s">
        <v>15</v>
      </c>
      <c r="C469" t="s">
        <v>22</v>
      </c>
      <c r="D469" t="s">
        <v>17</v>
      </c>
      <c r="E469" t="s">
        <v>99</v>
      </c>
      <c r="F469" t="s">
        <v>19</v>
      </c>
      <c r="G469">
        <v>2005</v>
      </c>
      <c r="H469">
        <v>7423.5</v>
      </c>
      <c r="I469">
        <v>7117.2</v>
      </c>
      <c r="J469">
        <v>319.89999999999998</v>
      </c>
      <c r="K469">
        <v>6510.5</v>
      </c>
      <c r="L469" s="5">
        <v>0.87701219100000005</v>
      </c>
      <c r="M469">
        <v>913</v>
      </c>
      <c r="N469" s="5">
        <v>0.122987809</v>
      </c>
    </row>
    <row r="470" spans="1:14" x14ac:dyDescent="0.3">
      <c r="A470" t="s">
        <v>560</v>
      </c>
      <c r="B470" t="s">
        <v>15</v>
      </c>
      <c r="C470" t="s">
        <v>167</v>
      </c>
      <c r="D470" t="s">
        <v>168</v>
      </c>
      <c r="E470" t="s">
        <v>169</v>
      </c>
      <c r="F470" t="s">
        <v>19</v>
      </c>
      <c r="G470">
        <v>2009</v>
      </c>
      <c r="H470">
        <v>7416.8</v>
      </c>
      <c r="I470">
        <v>4668.1000000000004</v>
      </c>
      <c r="J470">
        <v>2767</v>
      </c>
      <c r="K470">
        <v>4913.6000000000004</v>
      </c>
      <c r="L470" s="5">
        <v>0.66249595510000003</v>
      </c>
      <c r="M470">
        <v>2503.1999999999998</v>
      </c>
      <c r="N470" s="5">
        <v>0.33750404490000002</v>
      </c>
    </row>
    <row r="471" spans="1:14" x14ac:dyDescent="0.3">
      <c r="A471" t="s">
        <v>561</v>
      </c>
      <c r="B471" t="s">
        <v>15</v>
      </c>
      <c r="C471" t="s">
        <v>223</v>
      </c>
      <c r="D471" t="s">
        <v>25</v>
      </c>
      <c r="E471" t="s">
        <v>18</v>
      </c>
      <c r="F471" t="s">
        <v>19</v>
      </c>
      <c r="G471">
        <v>2017</v>
      </c>
      <c r="H471">
        <v>7405.6</v>
      </c>
      <c r="I471">
        <v>6405.3</v>
      </c>
      <c r="J471">
        <v>1014.5</v>
      </c>
      <c r="K471">
        <v>639.20000000000005</v>
      </c>
      <c r="L471" s="5">
        <v>8.6313060390000002E-2</v>
      </c>
      <c r="M471">
        <v>6766.4</v>
      </c>
      <c r="N471" s="5">
        <v>0.91368693960000003</v>
      </c>
    </row>
    <row r="472" spans="1:14" x14ac:dyDescent="0.3">
      <c r="A472" t="s">
        <v>562</v>
      </c>
      <c r="B472" t="s">
        <v>21</v>
      </c>
      <c r="C472" t="s">
        <v>167</v>
      </c>
      <c r="D472" t="s">
        <v>168</v>
      </c>
      <c r="E472" t="s">
        <v>169</v>
      </c>
      <c r="F472" t="s">
        <v>49</v>
      </c>
      <c r="G472">
        <v>2013</v>
      </c>
      <c r="H472">
        <v>7388.4</v>
      </c>
      <c r="I472">
        <v>3471.7</v>
      </c>
      <c r="J472">
        <v>3933.9</v>
      </c>
      <c r="K472">
        <v>2317.8000000000002</v>
      </c>
      <c r="L472" s="5">
        <v>0.3137079747</v>
      </c>
      <c r="M472">
        <v>5070.6000000000004</v>
      </c>
      <c r="N472" s="5">
        <v>0.6862920253</v>
      </c>
    </row>
    <row r="473" spans="1:14" x14ac:dyDescent="0.3">
      <c r="A473" t="s">
        <v>563</v>
      </c>
      <c r="B473" t="s">
        <v>15</v>
      </c>
      <c r="C473" t="s">
        <v>167</v>
      </c>
      <c r="D473" t="s">
        <v>168</v>
      </c>
      <c r="E473" t="s">
        <v>83</v>
      </c>
      <c r="F473" t="s">
        <v>19</v>
      </c>
      <c r="G473">
        <v>2015</v>
      </c>
      <c r="H473">
        <v>7387.8</v>
      </c>
      <c r="I473">
        <v>2807.5</v>
      </c>
      <c r="J473">
        <v>4581</v>
      </c>
      <c r="K473">
        <v>359.7</v>
      </c>
      <c r="L473" s="5">
        <v>4.8688378140000002E-2</v>
      </c>
      <c r="M473">
        <v>7028.1</v>
      </c>
      <c r="N473" s="5">
        <v>0.95131162189999996</v>
      </c>
    </row>
    <row r="474" spans="1:14" x14ac:dyDescent="0.3">
      <c r="A474" t="s">
        <v>564</v>
      </c>
      <c r="B474" t="s">
        <v>15</v>
      </c>
      <c r="C474" t="s">
        <v>223</v>
      </c>
      <c r="D474" t="s">
        <v>25</v>
      </c>
      <c r="E474" t="s">
        <v>18</v>
      </c>
      <c r="F474" t="s">
        <v>19</v>
      </c>
      <c r="G474">
        <v>2018</v>
      </c>
      <c r="H474">
        <v>7377.9</v>
      </c>
      <c r="I474">
        <v>4274.5</v>
      </c>
      <c r="J474">
        <v>3113.3</v>
      </c>
      <c r="K474">
        <v>716.5</v>
      </c>
      <c r="L474" s="5">
        <v>9.7114355030000002E-2</v>
      </c>
      <c r="M474">
        <v>6661.4</v>
      </c>
      <c r="N474" s="5">
        <v>0.90288564500000001</v>
      </c>
    </row>
    <row r="475" spans="1:14" x14ac:dyDescent="0.3">
      <c r="A475" t="s">
        <v>565</v>
      </c>
      <c r="B475" t="s">
        <v>15</v>
      </c>
      <c r="C475" t="s">
        <v>34</v>
      </c>
      <c r="D475" t="s">
        <v>17</v>
      </c>
      <c r="E475" t="s">
        <v>23</v>
      </c>
      <c r="F475" t="s">
        <v>19</v>
      </c>
      <c r="G475">
        <v>2012</v>
      </c>
      <c r="H475">
        <v>7352.6</v>
      </c>
      <c r="I475">
        <v>3894</v>
      </c>
      <c r="J475">
        <v>3483.8</v>
      </c>
      <c r="K475">
        <v>6069.3</v>
      </c>
      <c r="L475" s="5">
        <v>0.82546310150000002</v>
      </c>
      <c r="M475">
        <v>1283.3</v>
      </c>
      <c r="N475" s="5">
        <v>0.17453689850000001</v>
      </c>
    </row>
    <row r="476" spans="1:14" x14ac:dyDescent="0.3">
      <c r="A476" t="s">
        <v>566</v>
      </c>
      <c r="B476" t="s">
        <v>79</v>
      </c>
      <c r="C476" t="s">
        <v>22</v>
      </c>
      <c r="D476" t="s">
        <v>17</v>
      </c>
      <c r="E476" t="s">
        <v>18</v>
      </c>
      <c r="F476" t="s">
        <v>49</v>
      </c>
      <c r="G476">
        <v>2009</v>
      </c>
      <c r="H476">
        <v>7347.9</v>
      </c>
      <c r="I476">
        <v>6711.8</v>
      </c>
      <c r="J476">
        <v>643.70000000000005</v>
      </c>
      <c r="K476">
        <v>114.9</v>
      </c>
      <c r="L476" s="5">
        <v>1.5637120810000002E-2</v>
      </c>
      <c r="M476">
        <v>7233</v>
      </c>
      <c r="N476" s="5">
        <v>0.98436287919999998</v>
      </c>
    </row>
    <row r="477" spans="1:14" x14ac:dyDescent="0.3">
      <c r="A477" t="s">
        <v>567</v>
      </c>
      <c r="B477" t="s">
        <v>15</v>
      </c>
      <c r="C477" t="s">
        <v>22</v>
      </c>
      <c r="D477" t="s">
        <v>17</v>
      </c>
      <c r="E477" t="s">
        <v>99</v>
      </c>
      <c r="F477" t="s">
        <v>19</v>
      </c>
      <c r="G477">
        <v>2012</v>
      </c>
      <c r="H477">
        <v>7337.5</v>
      </c>
      <c r="I477">
        <v>3928</v>
      </c>
      <c r="J477">
        <v>3422.3</v>
      </c>
      <c r="K477">
        <v>5340.9</v>
      </c>
      <c r="L477" s="5">
        <v>0.72789097100000011</v>
      </c>
      <c r="M477">
        <v>1996.6</v>
      </c>
      <c r="N477" s="5">
        <v>0.272109029</v>
      </c>
    </row>
    <row r="478" spans="1:14" x14ac:dyDescent="0.3">
      <c r="A478" t="s">
        <v>568</v>
      </c>
      <c r="B478" t="s">
        <v>21</v>
      </c>
      <c r="C478" t="s">
        <v>569</v>
      </c>
      <c r="D478" t="s">
        <v>17</v>
      </c>
      <c r="E478" t="s">
        <v>23</v>
      </c>
      <c r="F478" t="s">
        <v>19</v>
      </c>
      <c r="G478">
        <v>2006</v>
      </c>
      <c r="H478">
        <v>7335.2</v>
      </c>
      <c r="I478">
        <v>6735.6</v>
      </c>
      <c r="J478">
        <v>602</v>
      </c>
      <c r="K478">
        <v>1341.8</v>
      </c>
      <c r="L478" s="5">
        <v>0.18292616420000002</v>
      </c>
      <c r="M478">
        <v>5993.4</v>
      </c>
      <c r="N478" s="5">
        <v>0.81707383580000004</v>
      </c>
    </row>
    <row r="479" spans="1:14" x14ac:dyDescent="0.3">
      <c r="A479" t="s">
        <v>570</v>
      </c>
      <c r="B479" t="s">
        <v>15</v>
      </c>
      <c r="C479" t="s">
        <v>22</v>
      </c>
      <c r="D479" t="s">
        <v>17</v>
      </c>
      <c r="E479" t="s">
        <v>292</v>
      </c>
      <c r="F479" t="s">
        <v>49</v>
      </c>
      <c r="G479">
        <v>2007</v>
      </c>
      <c r="H479">
        <v>7326.6</v>
      </c>
      <c r="I479">
        <v>1671.1</v>
      </c>
      <c r="J479">
        <v>5664.1</v>
      </c>
      <c r="K479">
        <v>6816.6</v>
      </c>
      <c r="L479" s="5">
        <v>0.9303906314</v>
      </c>
      <c r="M479">
        <v>510</v>
      </c>
      <c r="N479" s="5">
        <v>6.9609368599999999E-2</v>
      </c>
    </row>
    <row r="480" spans="1:14" x14ac:dyDescent="0.3">
      <c r="A480" t="s">
        <v>571</v>
      </c>
      <c r="B480" t="s">
        <v>15</v>
      </c>
      <c r="C480" t="s">
        <v>22</v>
      </c>
      <c r="D480" t="s">
        <v>17</v>
      </c>
      <c r="E480" t="s">
        <v>99</v>
      </c>
      <c r="F480" t="s">
        <v>19</v>
      </c>
      <c r="G480">
        <v>2014</v>
      </c>
      <c r="H480">
        <v>7313.2</v>
      </c>
      <c r="I480">
        <v>7318.3</v>
      </c>
      <c r="J480">
        <v>8.3000000000000007</v>
      </c>
      <c r="K480">
        <v>2901.6</v>
      </c>
      <c r="L480" s="5">
        <v>0.3967620194</v>
      </c>
      <c r="M480">
        <v>4411.6000000000004</v>
      </c>
      <c r="N480" s="5">
        <v>0.6032379806</v>
      </c>
    </row>
    <row r="481" spans="1:14" x14ac:dyDescent="0.3">
      <c r="A481" t="s">
        <v>572</v>
      </c>
      <c r="B481" t="s">
        <v>21</v>
      </c>
      <c r="C481" t="s">
        <v>573</v>
      </c>
      <c r="D481" t="s">
        <v>17</v>
      </c>
      <c r="E481" t="s">
        <v>23</v>
      </c>
      <c r="F481" t="s">
        <v>19</v>
      </c>
      <c r="G481">
        <v>2020</v>
      </c>
      <c r="H481">
        <v>7286.8</v>
      </c>
      <c r="I481">
        <v>4703.7</v>
      </c>
      <c r="J481">
        <v>2609.5</v>
      </c>
      <c r="K481">
        <v>6083.2</v>
      </c>
      <c r="L481" s="5">
        <v>0.8348246144</v>
      </c>
      <c r="M481">
        <v>1203.5999999999999</v>
      </c>
      <c r="N481" s="5">
        <v>0.16517538559999997</v>
      </c>
    </row>
    <row r="482" spans="1:14" x14ac:dyDescent="0.3">
      <c r="A482" t="s">
        <v>574</v>
      </c>
      <c r="B482" t="s">
        <v>15</v>
      </c>
      <c r="C482" t="s">
        <v>167</v>
      </c>
      <c r="D482" t="s">
        <v>168</v>
      </c>
      <c r="E482" t="s">
        <v>83</v>
      </c>
      <c r="F482" t="s">
        <v>49</v>
      </c>
      <c r="G482">
        <v>2016</v>
      </c>
      <c r="H482">
        <v>7277.6</v>
      </c>
      <c r="I482">
        <v>6836.9</v>
      </c>
      <c r="J482">
        <v>455.9</v>
      </c>
      <c r="K482">
        <v>3003</v>
      </c>
      <c r="L482" s="5">
        <v>0.41263603389999998</v>
      </c>
      <c r="M482">
        <v>4274.6000000000004</v>
      </c>
      <c r="N482" s="5">
        <v>0.58736396609999997</v>
      </c>
    </row>
    <row r="483" spans="1:14" x14ac:dyDescent="0.3">
      <c r="A483" t="s">
        <v>575</v>
      </c>
      <c r="B483" t="s">
        <v>21</v>
      </c>
      <c r="C483" t="s">
        <v>223</v>
      </c>
      <c r="D483" t="s">
        <v>25</v>
      </c>
      <c r="E483" t="s">
        <v>83</v>
      </c>
      <c r="F483" t="s">
        <v>19</v>
      </c>
      <c r="G483">
        <v>2019</v>
      </c>
      <c r="H483">
        <v>7256.2</v>
      </c>
      <c r="I483">
        <v>2470.4</v>
      </c>
      <c r="J483">
        <v>4785.8</v>
      </c>
      <c r="K483">
        <v>976.1</v>
      </c>
      <c r="L483" s="5">
        <v>0.13451944539999999</v>
      </c>
      <c r="M483">
        <v>6280.1</v>
      </c>
      <c r="N483" s="5">
        <v>0.86548055459999995</v>
      </c>
    </row>
    <row r="484" spans="1:14" x14ac:dyDescent="0.3">
      <c r="A484" t="s">
        <v>576</v>
      </c>
      <c r="B484" t="s">
        <v>15</v>
      </c>
      <c r="C484" t="s">
        <v>22</v>
      </c>
      <c r="D484" t="s">
        <v>17</v>
      </c>
      <c r="E484" t="s">
        <v>18</v>
      </c>
      <c r="F484" t="s">
        <v>19</v>
      </c>
      <c r="G484">
        <v>2012</v>
      </c>
      <c r="H484">
        <v>7252.1</v>
      </c>
      <c r="I484">
        <v>4583.7</v>
      </c>
      <c r="J484">
        <v>2668.4</v>
      </c>
      <c r="K484">
        <v>2499</v>
      </c>
      <c r="L484" s="5">
        <v>0.34458984289999994</v>
      </c>
      <c r="M484">
        <v>4753.1000000000004</v>
      </c>
      <c r="N484" s="5">
        <v>0.65541015709999995</v>
      </c>
    </row>
    <row r="485" spans="1:14" x14ac:dyDescent="0.3">
      <c r="A485" t="s">
        <v>577</v>
      </c>
      <c r="B485" t="s">
        <v>21</v>
      </c>
      <c r="C485" t="s">
        <v>407</v>
      </c>
      <c r="D485" t="s">
        <v>408</v>
      </c>
      <c r="E485" t="s">
        <v>23</v>
      </c>
      <c r="F485" t="s">
        <v>19</v>
      </c>
      <c r="G485">
        <v>1997</v>
      </c>
      <c r="H485">
        <v>7239.7</v>
      </c>
      <c r="I485">
        <v>0</v>
      </c>
      <c r="J485">
        <v>7239.7</v>
      </c>
      <c r="K485">
        <v>0</v>
      </c>
      <c r="L485" s="5">
        <v>0</v>
      </c>
      <c r="M485">
        <v>7239.7</v>
      </c>
      <c r="N485" s="5">
        <v>1</v>
      </c>
    </row>
    <row r="486" spans="1:14" x14ac:dyDescent="0.3">
      <c r="A486" t="s">
        <v>578</v>
      </c>
      <c r="B486" t="s">
        <v>15</v>
      </c>
      <c r="C486" t="s">
        <v>22</v>
      </c>
      <c r="D486" t="s">
        <v>17</v>
      </c>
      <c r="E486" t="s">
        <v>18</v>
      </c>
      <c r="F486" t="s">
        <v>19</v>
      </c>
      <c r="G486">
        <v>2008</v>
      </c>
      <c r="H486">
        <v>7237.6</v>
      </c>
      <c r="I486">
        <v>0</v>
      </c>
      <c r="J486">
        <v>7237.6</v>
      </c>
      <c r="K486">
        <v>0</v>
      </c>
      <c r="L486" s="5">
        <v>0</v>
      </c>
      <c r="M486">
        <v>7237.6</v>
      </c>
      <c r="N486" s="5">
        <v>1</v>
      </c>
    </row>
    <row r="487" spans="1:14" x14ac:dyDescent="0.3">
      <c r="A487" t="s">
        <v>579</v>
      </c>
      <c r="B487" t="s">
        <v>15</v>
      </c>
      <c r="C487" t="s">
        <v>243</v>
      </c>
      <c r="D487" t="s">
        <v>25</v>
      </c>
      <c r="E487" t="s">
        <v>18</v>
      </c>
      <c r="F487" t="s">
        <v>19</v>
      </c>
      <c r="G487">
        <v>2018</v>
      </c>
      <c r="H487">
        <v>7209.6</v>
      </c>
      <c r="I487">
        <v>3303.8</v>
      </c>
      <c r="J487">
        <v>3905.7</v>
      </c>
      <c r="K487">
        <v>2183.8000000000002</v>
      </c>
      <c r="L487" s="5">
        <v>0.3029016866</v>
      </c>
      <c r="M487">
        <v>5025.8</v>
      </c>
      <c r="N487" s="5">
        <v>0.69709831339999995</v>
      </c>
    </row>
    <row r="488" spans="1:14" x14ac:dyDescent="0.3">
      <c r="A488" t="s">
        <v>580</v>
      </c>
      <c r="B488" t="s">
        <v>15</v>
      </c>
      <c r="C488" t="s">
        <v>34</v>
      </c>
      <c r="D488" t="s">
        <v>17</v>
      </c>
      <c r="E488" t="s">
        <v>23</v>
      </c>
      <c r="F488" t="s">
        <v>19</v>
      </c>
      <c r="G488">
        <v>2016</v>
      </c>
      <c r="H488">
        <v>7192.6</v>
      </c>
      <c r="I488">
        <v>4689.2</v>
      </c>
      <c r="J488">
        <v>2505.3000000000002</v>
      </c>
      <c r="K488">
        <v>3982.2</v>
      </c>
      <c r="L488" s="5">
        <v>0.55365236490000003</v>
      </c>
      <c r="M488">
        <v>3210.4</v>
      </c>
      <c r="N488" s="5">
        <v>0.44634763509999997</v>
      </c>
    </row>
    <row r="489" spans="1:14" x14ac:dyDescent="0.3">
      <c r="A489" t="s">
        <v>581</v>
      </c>
      <c r="B489" t="s">
        <v>15</v>
      </c>
      <c r="C489" t="s">
        <v>46</v>
      </c>
      <c r="D489" t="s">
        <v>47</v>
      </c>
      <c r="E489" t="s">
        <v>48</v>
      </c>
      <c r="F489" t="s">
        <v>49</v>
      </c>
      <c r="G489">
        <v>2019</v>
      </c>
      <c r="H489">
        <v>7182.1</v>
      </c>
      <c r="I489">
        <v>6877.5</v>
      </c>
      <c r="J489">
        <v>304.7</v>
      </c>
      <c r="K489">
        <v>6118.4</v>
      </c>
      <c r="L489" s="5">
        <v>0.85189568510000002</v>
      </c>
      <c r="M489">
        <v>1063.7</v>
      </c>
      <c r="N489" s="5">
        <v>0.14810431489999998</v>
      </c>
    </row>
    <row r="490" spans="1:14" x14ac:dyDescent="0.3">
      <c r="A490" t="s">
        <v>582</v>
      </c>
      <c r="B490" t="s">
        <v>15</v>
      </c>
      <c r="C490" t="s">
        <v>90</v>
      </c>
      <c r="D490" t="s">
        <v>25</v>
      </c>
      <c r="E490" t="s">
        <v>91</v>
      </c>
      <c r="F490" t="s">
        <v>49</v>
      </c>
      <c r="G490">
        <v>2015</v>
      </c>
      <c r="H490">
        <v>7123.4</v>
      </c>
      <c r="I490">
        <v>5595.9</v>
      </c>
      <c r="J490">
        <v>1527.5</v>
      </c>
      <c r="K490">
        <v>3002</v>
      </c>
      <c r="L490" s="5">
        <v>0.42142796980000002</v>
      </c>
      <c r="M490">
        <v>4121.3999999999996</v>
      </c>
      <c r="N490" s="5">
        <v>0.57857203020000003</v>
      </c>
    </row>
    <row r="491" spans="1:14" x14ac:dyDescent="0.3">
      <c r="A491" t="s">
        <v>583</v>
      </c>
      <c r="B491" t="s">
        <v>15</v>
      </c>
      <c r="C491" t="s">
        <v>22</v>
      </c>
      <c r="D491" t="s">
        <v>17</v>
      </c>
      <c r="E491" t="s">
        <v>23</v>
      </c>
      <c r="F491" t="s">
        <v>19</v>
      </c>
      <c r="G491">
        <v>2007</v>
      </c>
      <c r="H491">
        <v>7114.1</v>
      </c>
      <c r="I491">
        <v>4400.3</v>
      </c>
      <c r="J491">
        <v>2716</v>
      </c>
      <c r="K491">
        <v>3.9</v>
      </c>
      <c r="L491" s="5">
        <v>5.4820708170000006E-4</v>
      </c>
      <c r="M491">
        <v>7110.2</v>
      </c>
      <c r="N491" s="5">
        <v>0.99945179289999997</v>
      </c>
    </row>
    <row r="492" spans="1:14" x14ac:dyDescent="0.3">
      <c r="A492" t="s">
        <v>584</v>
      </c>
      <c r="B492" t="s">
        <v>15</v>
      </c>
      <c r="C492" t="s">
        <v>22</v>
      </c>
      <c r="D492" t="s">
        <v>17</v>
      </c>
      <c r="E492" t="s">
        <v>18</v>
      </c>
      <c r="F492" t="s">
        <v>19</v>
      </c>
      <c r="G492">
        <v>2010</v>
      </c>
      <c r="H492">
        <v>7073.7</v>
      </c>
      <c r="I492">
        <v>2882.3</v>
      </c>
      <c r="J492">
        <v>4191.3999999999996</v>
      </c>
      <c r="K492">
        <v>1158.3</v>
      </c>
      <c r="L492" s="5">
        <v>0.16374740230000001</v>
      </c>
      <c r="M492">
        <v>5915.4</v>
      </c>
      <c r="N492" s="5">
        <v>0.83625259770000004</v>
      </c>
    </row>
    <row r="493" spans="1:14" x14ac:dyDescent="0.3">
      <c r="A493" t="s">
        <v>585</v>
      </c>
      <c r="B493" t="s">
        <v>15</v>
      </c>
      <c r="C493" t="s">
        <v>22</v>
      </c>
      <c r="D493" t="s">
        <v>17</v>
      </c>
      <c r="E493" t="s">
        <v>18</v>
      </c>
      <c r="F493" t="s">
        <v>19</v>
      </c>
      <c r="G493">
        <v>2017</v>
      </c>
      <c r="H493">
        <v>7061.3</v>
      </c>
      <c r="I493">
        <v>7067.3</v>
      </c>
      <c r="J493">
        <v>0</v>
      </c>
      <c r="K493">
        <v>4346.8</v>
      </c>
      <c r="L493" s="5">
        <v>0.61558070040000001</v>
      </c>
      <c r="M493">
        <v>2714.5</v>
      </c>
      <c r="N493" s="5">
        <v>0.38441929960000004</v>
      </c>
    </row>
    <row r="494" spans="1:14" x14ac:dyDescent="0.3">
      <c r="A494" t="s">
        <v>586</v>
      </c>
      <c r="B494" t="s">
        <v>15</v>
      </c>
      <c r="C494" t="s">
        <v>90</v>
      </c>
      <c r="D494" t="s">
        <v>25</v>
      </c>
      <c r="E494" t="s">
        <v>83</v>
      </c>
      <c r="F494" t="s">
        <v>19</v>
      </c>
      <c r="G494">
        <v>1971</v>
      </c>
      <c r="H494">
        <v>7059.2</v>
      </c>
      <c r="I494">
        <v>6505.8</v>
      </c>
      <c r="J494">
        <v>557.1</v>
      </c>
      <c r="K494">
        <v>5676.3</v>
      </c>
      <c r="L494" s="5">
        <v>0.80409961470000002</v>
      </c>
      <c r="M494">
        <v>1382.9</v>
      </c>
      <c r="N494" s="5">
        <v>0.19590038530000001</v>
      </c>
    </row>
    <row r="495" spans="1:14" x14ac:dyDescent="0.3">
      <c r="A495" t="s">
        <v>587</v>
      </c>
      <c r="B495" t="s">
        <v>15</v>
      </c>
      <c r="C495" t="s">
        <v>90</v>
      </c>
      <c r="D495" t="s">
        <v>25</v>
      </c>
      <c r="E495" t="s">
        <v>83</v>
      </c>
      <c r="F495" t="s">
        <v>49</v>
      </c>
      <c r="G495">
        <v>1977</v>
      </c>
      <c r="H495">
        <v>7059.2</v>
      </c>
      <c r="I495">
        <v>6607.2</v>
      </c>
      <c r="J495">
        <v>446.9</v>
      </c>
      <c r="K495">
        <v>7059.2</v>
      </c>
      <c r="L495" s="5">
        <v>1</v>
      </c>
      <c r="M495">
        <v>0</v>
      </c>
      <c r="N495" s="5">
        <v>0</v>
      </c>
    </row>
    <row r="496" spans="1:14" x14ac:dyDescent="0.3">
      <c r="A496" t="s">
        <v>588</v>
      </c>
      <c r="B496" t="s">
        <v>15</v>
      </c>
      <c r="C496" t="s">
        <v>22</v>
      </c>
      <c r="D496" t="s">
        <v>17</v>
      </c>
      <c r="E496" t="s">
        <v>23</v>
      </c>
      <c r="F496" t="s">
        <v>19</v>
      </c>
      <c r="G496">
        <v>2002</v>
      </c>
      <c r="H496">
        <v>7048.5</v>
      </c>
      <c r="I496">
        <v>6851.4</v>
      </c>
      <c r="J496">
        <v>199.1</v>
      </c>
      <c r="K496">
        <v>5805</v>
      </c>
      <c r="L496" s="5">
        <v>0.82357948500000011</v>
      </c>
      <c r="M496">
        <v>1243.5</v>
      </c>
      <c r="N496" s="5">
        <v>0.176420515</v>
      </c>
    </row>
    <row r="497" spans="1:14" x14ac:dyDescent="0.3">
      <c r="A497" t="s">
        <v>589</v>
      </c>
      <c r="B497" t="s">
        <v>15</v>
      </c>
      <c r="C497" t="s">
        <v>34</v>
      </c>
      <c r="D497" t="s">
        <v>17</v>
      </c>
      <c r="E497" t="s">
        <v>52</v>
      </c>
      <c r="F497" t="s">
        <v>49</v>
      </c>
      <c r="G497">
        <v>1979</v>
      </c>
      <c r="H497">
        <v>7034.1</v>
      </c>
      <c r="I497">
        <v>7035</v>
      </c>
      <c r="J497">
        <v>3.3</v>
      </c>
      <c r="K497">
        <v>6940.1</v>
      </c>
      <c r="L497" s="5">
        <v>0.98663652780000011</v>
      </c>
      <c r="M497">
        <v>94</v>
      </c>
      <c r="N497" s="5">
        <v>1.3363472229999999E-2</v>
      </c>
    </row>
    <row r="498" spans="1:14" x14ac:dyDescent="0.3">
      <c r="A498" t="s">
        <v>590</v>
      </c>
      <c r="B498" t="s">
        <v>79</v>
      </c>
      <c r="C498" t="s">
        <v>22</v>
      </c>
      <c r="D498" t="s">
        <v>17</v>
      </c>
      <c r="E498" t="s">
        <v>23</v>
      </c>
      <c r="F498" t="s">
        <v>49</v>
      </c>
      <c r="G498">
        <v>2017</v>
      </c>
      <c r="H498">
        <v>7029.1</v>
      </c>
      <c r="I498">
        <v>5774.4</v>
      </c>
      <c r="J498">
        <v>1261.4000000000001</v>
      </c>
      <c r="K498">
        <v>5705.9</v>
      </c>
      <c r="L498" s="5">
        <v>0.81175399409999993</v>
      </c>
      <c r="M498">
        <v>1323.2</v>
      </c>
      <c r="N498" s="5">
        <v>0.18824600589999999</v>
      </c>
    </row>
    <row r="499" spans="1:14" x14ac:dyDescent="0.3">
      <c r="A499" t="s">
        <v>591</v>
      </c>
      <c r="B499" t="s">
        <v>15</v>
      </c>
      <c r="C499" t="s">
        <v>22</v>
      </c>
      <c r="D499" t="s">
        <v>17</v>
      </c>
      <c r="E499" t="s">
        <v>592</v>
      </c>
      <c r="F499" t="s">
        <v>49</v>
      </c>
      <c r="G499">
        <v>1997</v>
      </c>
      <c r="H499">
        <v>7018.9</v>
      </c>
      <c r="I499">
        <v>7018.4</v>
      </c>
      <c r="J499">
        <v>5.4</v>
      </c>
      <c r="K499">
        <v>6806</v>
      </c>
      <c r="L499" s="5">
        <v>0.96966761169999993</v>
      </c>
      <c r="M499">
        <v>212.9</v>
      </c>
      <c r="N499" s="5">
        <v>3.033238827E-2</v>
      </c>
    </row>
    <row r="500" spans="1:14" x14ac:dyDescent="0.3">
      <c r="A500" t="s">
        <v>593</v>
      </c>
      <c r="B500" t="s">
        <v>15</v>
      </c>
      <c r="C500" t="s">
        <v>22</v>
      </c>
      <c r="D500" t="s">
        <v>17</v>
      </c>
      <c r="E500" t="s">
        <v>292</v>
      </c>
      <c r="F500" t="s">
        <v>49</v>
      </c>
      <c r="G500">
        <v>1994</v>
      </c>
      <c r="H500">
        <v>6976.4</v>
      </c>
      <c r="I500">
        <v>4188.3999999999996</v>
      </c>
      <c r="J500">
        <v>2798.5</v>
      </c>
      <c r="K500">
        <v>6414.9</v>
      </c>
      <c r="L500" s="5">
        <v>0.91951436269999998</v>
      </c>
      <c r="M500">
        <v>561.5</v>
      </c>
      <c r="N500" s="5">
        <v>8.0485637289999995E-2</v>
      </c>
    </row>
    <row r="501" spans="1:14" x14ac:dyDescent="0.3">
      <c r="A501" t="s">
        <v>594</v>
      </c>
      <c r="B501" t="s">
        <v>15</v>
      </c>
      <c r="C501" t="s">
        <v>22</v>
      </c>
      <c r="D501" t="s">
        <v>25</v>
      </c>
      <c r="E501" t="s">
        <v>26</v>
      </c>
      <c r="F501" t="s">
        <v>19</v>
      </c>
      <c r="G501">
        <v>2017</v>
      </c>
      <c r="H501">
        <v>6972</v>
      </c>
      <c r="I501">
        <v>6956</v>
      </c>
      <c r="J501">
        <v>20.3</v>
      </c>
      <c r="K501">
        <v>1876.2</v>
      </c>
      <c r="L501" s="5">
        <v>0.26910499139999999</v>
      </c>
      <c r="M501">
        <v>5095.8</v>
      </c>
      <c r="N501" s="5">
        <v>0.73089500860000001</v>
      </c>
    </row>
    <row r="502" spans="1:14" x14ac:dyDescent="0.3">
      <c r="N502" s="5"/>
    </row>
    <row r="503" spans="1:14" x14ac:dyDescent="0.3">
      <c r="N503" s="5"/>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F1BA-DCF2-4D89-80F8-8988500E79CF}">
  <dimension ref="A3:C16"/>
  <sheetViews>
    <sheetView zoomScaleNormal="100" workbookViewId="0"/>
  </sheetViews>
  <sheetFormatPr defaultRowHeight="14.4" x14ac:dyDescent="0.3"/>
  <cols>
    <col min="1" max="1" width="32.6640625" bestFit="1" customWidth="1"/>
    <col min="2" max="2" width="29.21875" bestFit="1" customWidth="1"/>
    <col min="3" max="3" width="11.109375" bestFit="1" customWidth="1"/>
    <col min="4" max="4" width="51.5546875" bestFit="1" customWidth="1"/>
    <col min="5" max="5" width="29.88671875" bestFit="1" customWidth="1"/>
  </cols>
  <sheetData>
    <row r="3" spans="1:3" x14ac:dyDescent="0.3">
      <c r="A3" t="s">
        <v>596</v>
      </c>
    </row>
    <row r="4" spans="1:3" x14ac:dyDescent="0.3">
      <c r="A4">
        <v>8408805.1000000015</v>
      </c>
      <c r="C4">
        <f>GETPIVOTDATA("Total Streams (in millions)",$A$3)</f>
        <v>8408805.1000000015</v>
      </c>
    </row>
    <row r="7" spans="1:3" x14ac:dyDescent="0.3">
      <c r="A7" t="s">
        <v>597</v>
      </c>
    </row>
    <row r="8" spans="1:3" x14ac:dyDescent="0.3">
      <c r="A8">
        <v>500</v>
      </c>
      <c r="C8">
        <f>GETPIVOTDATA("Artist Name",$A$7)</f>
        <v>500</v>
      </c>
    </row>
    <row r="11" spans="1:3" x14ac:dyDescent="0.3">
      <c r="A11" t="s">
        <v>598</v>
      </c>
    </row>
    <row r="12" spans="1:3" x14ac:dyDescent="0.3">
      <c r="A12">
        <v>16817.610200000003</v>
      </c>
      <c r="C12">
        <f>GETPIVOTDATA("Total Streams (in millions)",$A$11)</f>
        <v>16817.610200000003</v>
      </c>
    </row>
    <row r="15" spans="1:3" x14ac:dyDescent="0.3">
      <c r="A15" t="s">
        <v>602</v>
      </c>
    </row>
    <row r="16" spans="1:3" x14ac:dyDescent="0.3">
      <c r="A16" s="6">
        <v>0.49386915934908676</v>
      </c>
      <c r="C16" s="5">
        <f>GETPIVOTDATA("% of Collaborative Streams",$A$15)</f>
        <v>0.49386915934908676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9850D-C7A3-4D06-8491-D874D8E787F2}">
  <dimension ref="A1:D502"/>
  <sheetViews>
    <sheetView zoomScale="76" workbookViewId="0"/>
  </sheetViews>
  <sheetFormatPr defaultRowHeight="14.4" x14ac:dyDescent="0.3"/>
  <cols>
    <col min="1" max="1" width="29.77734375" bestFit="1" customWidth="1"/>
    <col min="2" max="2" width="28.77734375" bestFit="1" customWidth="1"/>
  </cols>
  <sheetData>
    <row r="1" spans="1:4" x14ac:dyDescent="0.3">
      <c r="A1" s="2" t="s">
        <v>599</v>
      </c>
      <c r="B1" t="s">
        <v>601</v>
      </c>
    </row>
    <row r="2" spans="1:4" x14ac:dyDescent="0.3">
      <c r="A2" s="3" t="s">
        <v>14</v>
      </c>
      <c r="B2">
        <v>137492.1</v>
      </c>
      <c r="D2">
        <f>GETPIVOTDATA("Total Streams (in millions)",'Stream Per Artist'!$A$1)</f>
        <v>137492.1</v>
      </c>
    </row>
    <row r="3" spans="1:4" x14ac:dyDescent="0.3">
      <c r="A3" s="3" t="s">
        <v>20</v>
      </c>
      <c r="B3">
        <v>127861</v>
      </c>
    </row>
    <row r="4" spans="1:4" x14ac:dyDescent="0.3">
      <c r="A4" s="3" t="s">
        <v>24</v>
      </c>
      <c r="B4">
        <v>125899.8</v>
      </c>
    </row>
    <row r="5" spans="1:4" x14ac:dyDescent="0.3">
      <c r="A5" s="3" t="s">
        <v>27</v>
      </c>
      <c r="B5">
        <v>95703.2</v>
      </c>
    </row>
    <row r="6" spans="1:4" x14ac:dyDescent="0.3">
      <c r="A6" s="3" t="s">
        <v>29</v>
      </c>
      <c r="B6">
        <v>78104.399999999994</v>
      </c>
    </row>
    <row r="7" spans="1:4" x14ac:dyDescent="0.3">
      <c r="A7" s="3" t="s">
        <v>30</v>
      </c>
      <c r="B7">
        <v>68298.899999999994</v>
      </c>
    </row>
    <row r="8" spans="1:4" x14ac:dyDescent="0.3">
      <c r="A8" s="3" t="s">
        <v>31</v>
      </c>
      <c r="B8">
        <v>65349.7</v>
      </c>
    </row>
    <row r="9" spans="1:4" x14ac:dyDescent="0.3">
      <c r="A9" s="3" t="s">
        <v>32</v>
      </c>
      <c r="B9">
        <v>65142.9</v>
      </c>
    </row>
    <row r="10" spans="1:4" x14ac:dyDescent="0.3">
      <c r="A10" s="3" t="s">
        <v>33</v>
      </c>
      <c r="B10">
        <v>64656.9</v>
      </c>
    </row>
    <row r="11" spans="1:4" x14ac:dyDescent="0.3">
      <c r="A11" s="3" t="s">
        <v>35</v>
      </c>
      <c r="B11">
        <v>64549</v>
      </c>
    </row>
    <row r="12" spans="1:4" x14ac:dyDescent="0.3">
      <c r="A12" s="3" t="s">
        <v>36</v>
      </c>
      <c r="B12">
        <v>60670.7</v>
      </c>
    </row>
    <row r="13" spans="1:4" x14ac:dyDescent="0.3">
      <c r="A13" s="3" t="s">
        <v>38</v>
      </c>
      <c r="B13">
        <v>58049.5</v>
      </c>
    </row>
    <row r="14" spans="1:4" x14ac:dyDescent="0.3">
      <c r="A14" s="3" t="s">
        <v>39</v>
      </c>
      <c r="B14">
        <v>56727.1</v>
      </c>
    </row>
    <row r="15" spans="1:4" x14ac:dyDescent="0.3">
      <c r="A15" s="3" t="s">
        <v>40</v>
      </c>
      <c r="B15">
        <v>56459.5</v>
      </c>
    </row>
    <row r="16" spans="1:4" x14ac:dyDescent="0.3">
      <c r="A16" s="3" t="s">
        <v>41</v>
      </c>
      <c r="B16">
        <v>55028.3</v>
      </c>
    </row>
    <row r="17" spans="1:2" x14ac:dyDescent="0.3">
      <c r="A17" s="3" t="s">
        <v>42</v>
      </c>
      <c r="B17">
        <v>54649.2</v>
      </c>
    </row>
    <row r="18" spans="1:2" x14ac:dyDescent="0.3">
      <c r="A18" s="3" t="s">
        <v>44</v>
      </c>
      <c r="B18">
        <v>53951.5</v>
      </c>
    </row>
    <row r="19" spans="1:2" x14ac:dyDescent="0.3">
      <c r="A19" s="3" t="s">
        <v>45</v>
      </c>
      <c r="B19">
        <v>53308.9</v>
      </c>
    </row>
    <row r="20" spans="1:2" x14ac:dyDescent="0.3">
      <c r="A20" s="3" t="s">
        <v>50</v>
      </c>
      <c r="B20">
        <v>47649.2</v>
      </c>
    </row>
    <row r="21" spans="1:2" x14ac:dyDescent="0.3">
      <c r="A21" s="3" t="s">
        <v>51</v>
      </c>
      <c r="B21">
        <v>46720.4</v>
      </c>
    </row>
    <row r="22" spans="1:2" x14ac:dyDescent="0.3">
      <c r="A22" s="3" t="s">
        <v>53</v>
      </c>
      <c r="B22">
        <v>46276.4</v>
      </c>
    </row>
    <row r="23" spans="1:2" x14ac:dyDescent="0.3">
      <c r="A23" s="3" t="s">
        <v>54</v>
      </c>
      <c r="B23">
        <v>43963.8</v>
      </c>
    </row>
    <row r="24" spans="1:2" x14ac:dyDescent="0.3">
      <c r="A24" s="3" t="s">
        <v>55</v>
      </c>
      <c r="B24">
        <v>43330.3</v>
      </c>
    </row>
    <row r="25" spans="1:2" x14ac:dyDescent="0.3">
      <c r="A25" s="3" t="s">
        <v>57</v>
      </c>
      <c r="B25">
        <v>42464.1</v>
      </c>
    </row>
    <row r="26" spans="1:2" x14ac:dyDescent="0.3">
      <c r="A26" s="3" t="s">
        <v>59</v>
      </c>
      <c r="B26">
        <v>42059.5</v>
      </c>
    </row>
    <row r="27" spans="1:2" x14ac:dyDescent="0.3">
      <c r="A27" s="3" t="s">
        <v>62</v>
      </c>
      <c r="B27">
        <v>41944.1</v>
      </c>
    </row>
    <row r="28" spans="1:2" x14ac:dyDescent="0.3">
      <c r="A28" s="3" t="s">
        <v>63</v>
      </c>
      <c r="B28">
        <v>41405.4</v>
      </c>
    </row>
    <row r="29" spans="1:2" x14ac:dyDescent="0.3">
      <c r="A29" s="3" t="s">
        <v>64</v>
      </c>
      <c r="B29">
        <v>40738.6</v>
      </c>
    </row>
    <row r="30" spans="1:2" x14ac:dyDescent="0.3">
      <c r="A30" s="3" t="s">
        <v>65</v>
      </c>
      <c r="B30">
        <v>40453.300000000003</v>
      </c>
    </row>
    <row r="31" spans="1:2" x14ac:dyDescent="0.3">
      <c r="A31" s="3" t="s">
        <v>66</v>
      </c>
      <c r="B31">
        <v>40411.300000000003</v>
      </c>
    </row>
    <row r="32" spans="1:2" x14ac:dyDescent="0.3">
      <c r="A32" s="3" t="s">
        <v>67</v>
      </c>
      <c r="B32">
        <v>40279.5</v>
      </c>
    </row>
    <row r="33" spans="1:2" x14ac:dyDescent="0.3">
      <c r="A33" s="3" t="s">
        <v>68</v>
      </c>
      <c r="B33">
        <v>40148.199999999997</v>
      </c>
    </row>
    <row r="34" spans="1:2" x14ac:dyDescent="0.3">
      <c r="A34" s="3" t="s">
        <v>69</v>
      </c>
      <c r="B34">
        <v>39024.300000000003</v>
      </c>
    </row>
    <row r="35" spans="1:2" x14ac:dyDescent="0.3">
      <c r="A35" s="3" t="s">
        <v>70</v>
      </c>
      <c r="B35">
        <v>38879.599999999999</v>
      </c>
    </row>
    <row r="36" spans="1:2" x14ac:dyDescent="0.3">
      <c r="A36" s="3" t="s">
        <v>71</v>
      </c>
      <c r="B36">
        <v>37687.800000000003</v>
      </c>
    </row>
    <row r="37" spans="1:2" x14ac:dyDescent="0.3">
      <c r="A37" s="3" t="s">
        <v>75</v>
      </c>
      <c r="B37">
        <v>37565.4</v>
      </c>
    </row>
    <row r="38" spans="1:2" x14ac:dyDescent="0.3">
      <c r="A38" s="3" t="s">
        <v>76</v>
      </c>
      <c r="B38">
        <v>37549.699999999997</v>
      </c>
    </row>
    <row r="39" spans="1:2" x14ac:dyDescent="0.3">
      <c r="A39" s="3" t="s">
        <v>77</v>
      </c>
      <c r="B39">
        <v>35931.9</v>
      </c>
    </row>
    <row r="40" spans="1:2" x14ac:dyDescent="0.3">
      <c r="A40" s="3" t="s">
        <v>78</v>
      </c>
      <c r="B40">
        <v>35794.1</v>
      </c>
    </row>
    <row r="41" spans="1:2" x14ac:dyDescent="0.3">
      <c r="A41" s="3" t="s">
        <v>80</v>
      </c>
      <c r="B41">
        <v>35727.199999999997</v>
      </c>
    </row>
    <row r="42" spans="1:2" x14ac:dyDescent="0.3">
      <c r="A42" s="3" t="s">
        <v>81</v>
      </c>
      <c r="B42">
        <v>34975.199999999997</v>
      </c>
    </row>
    <row r="43" spans="1:2" x14ac:dyDescent="0.3">
      <c r="A43" s="3" t="s">
        <v>82</v>
      </c>
      <c r="B43">
        <v>34841</v>
      </c>
    </row>
    <row r="44" spans="1:2" x14ac:dyDescent="0.3">
      <c r="A44" s="3" t="s">
        <v>84</v>
      </c>
      <c r="B44">
        <v>34579.1</v>
      </c>
    </row>
    <row r="45" spans="1:2" x14ac:dyDescent="0.3">
      <c r="A45" s="3" t="s">
        <v>85</v>
      </c>
      <c r="B45">
        <v>34129.699999999997</v>
      </c>
    </row>
    <row r="46" spans="1:2" x14ac:dyDescent="0.3">
      <c r="A46" s="3" t="s">
        <v>87</v>
      </c>
      <c r="B46">
        <v>33620.699999999997</v>
      </c>
    </row>
    <row r="47" spans="1:2" x14ac:dyDescent="0.3">
      <c r="A47" s="3" t="s">
        <v>88</v>
      </c>
      <c r="B47">
        <v>33224.699999999997</v>
      </c>
    </row>
    <row r="48" spans="1:2" x14ac:dyDescent="0.3">
      <c r="A48" s="3" t="s">
        <v>89</v>
      </c>
      <c r="B48">
        <v>33179.800000000003</v>
      </c>
    </row>
    <row r="49" spans="1:2" x14ac:dyDescent="0.3">
      <c r="A49" s="3" t="s">
        <v>92</v>
      </c>
      <c r="B49">
        <v>32200.9</v>
      </c>
    </row>
    <row r="50" spans="1:2" x14ac:dyDescent="0.3">
      <c r="A50" s="3" t="s">
        <v>93</v>
      </c>
      <c r="B50">
        <v>32115.9</v>
      </c>
    </row>
    <row r="51" spans="1:2" x14ac:dyDescent="0.3">
      <c r="A51" s="3" t="s">
        <v>94</v>
      </c>
      <c r="B51">
        <v>31642.1</v>
      </c>
    </row>
    <row r="52" spans="1:2" x14ac:dyDescent="0.3">
      <c r="A52" s="3" t="s">
        <v>96</v>
      </c>
      <c r="B52">
        <v>31214.3</v>
      </c>
    </row>
    <row r="53" spans="1:2" x14ac:dyDescent="0.3">
      <c r="A53" s="3" t="s">
        <v>97</v>
      </c>
      <c r="B53">
        <v>31212.400000000001</v>
      </c>
    </row>
    <row r="54" spans="1:2" x14ac:dyDescent="0.3">
      <c r="A54" s="3" t="s">
        <v>98</v>
      </c>
      <c r="B54">
        <v>31171.1</v>
      </c>
    </row>
    <row r="55" spans="1:2" x14ac:dyDescent="0.3">
      <c r="A55" s="3" t="s">
        <v>100</v>
      </c>
      <c r="B55">
        <v>30933.8</v>
      </c>
    </row>
    <row r="56" spans="1:2" x14ac:dyDescent="0.3">
      <c r="A56" s="3" t="s">
        <v>101</v>
      </c>
      <c r="B56">
        <v>29775.3</v>
      </c>
    </row>
    <row r="57" spans="1:2" x14ac:dyDescent="0.3">
      <c r="A57" s="3" t="s">
        <v>102</v>
      </c>
      <c r="B57">
        <v>29471.1</v>
      </c>
    </row>
    <row r="58" spans="1:2" x14ac:dyDescent="0.3">
      <c r="A58" s="3" t="s">
        <v>103</v>
      </c>
      <c r="B58">
        <v>29449</v>
      </c>
    </row>
    <row r="59" spans="1:2" x14ac:dyDescent="0.3">
      <c r="A59" s="3" t="s">
        <v>104</v>
      </c>
      <c r="B59">
        <v>29370</v>
      </c>
    </row>
    <row r="60" spans="1:2" x14ac:dyDescent="0.3">
      <c r="A60" s="3" t="s">
        <v>105</v>
      </c>
      <c r="B60">
        <v>29197.200000000001</v>
      </c>
    </row>
    <row r="61" spans="1:2" x14ac:dyDescent="0.3">
      <c r="A61" s="3" t="s">
        <v>106</v>
      </c>
      <c r="B61">
        <v>28889.5</v>
      </c>
    </row>
    <row r="62" spans="1:2" x14ac:dyDescent="0.3">
      <c r="A62" s="3" t="s">
        <v>107</v>
      </c>
      <c r="B62">
        <v>28848.7</v>
      </c>
    </row>
    <row r="63" spans="1:2" x14ac:dyDescent="0.3">
      <c r="A63" s="3" t="s">
        <v>108</v>
      </c>
      <c r="B63">
        <v>28799.7</v>
      </c>
    </row>
    <row r="64" spans="1:2" x14ac:dyDescent="0.3">
      <c r="A64" s="3" t="s">
        <v>109</v>
      </c>
      <c r="B64">
        <v>28690.5</v>
      </c>
    </row>
    <row r="65" spans="1:2" x14ac:dyDescent="0.3">
      <c r="A65" s="3" t="s">
        <v>110</v>
      </c>
      <c r="B65">
        <v>28543.9</v>
      </c>
    </row>
    <row r="66" spans="1:2" x14ac:dyDescent="0.3">
      <c r="A66" s="3" t="s">
        <v>111</v>
      </c>
      <c r="B66">
        <v>28248</v>
      </c>
    </row>
    <row r="67" spans="1:2" x14ac:dyDescent="0.3">
      <c r="A67" s="3" t="s">
        <v>112</v>
      </c>
      <c r="B67">
        <v>28195.8</v>
      </c>
    </row>
    <row r="68" spans="1:2" x14ac:dyDescent="0.3">
      <c r="A68" s="3" t="s">
        <v>113</v>
      </c>
      <c r="B68">
        <v>28155.4</v>
      </c>
    </row>
    <row r="69" spans="1:2" x14ac:dyDescent="0.3">
      <c r="A69" s="3" t="s">
        <v>114</v>
      </c>
      <c r="B69">
        <v>27466.799999999999</v>
      </c>
    </row>
    <row r="70" spans="1:2" x14ac:dyDescent="0.3">
      <c r="A70" s="3" t="s">
        <v>115</v>
      </c>
      <c r="B70">
        <v>27406.799999999999</v>
      </c>
    </row>
    <row r="71" spans="1:2" x14ac:dyDescent="0.3">
      <c r="A71" s="3" t="s">
        <v>116</v>
      </c>
      <c r="B71">
        <v>27125.8</v>
      </c>
    </row>
    <row r="72" spans="1:2" x14ac:dyDescent="0.3">
      <c r="A72" s="3" t="s">
        <v>117</v>
      </c>
      <c r="B72">
        <v>26895.1</v>
      </c>
    </row>
    <row r="73" spans="1:2" x14ac:dyDescent="0.3">
      <c r="A73" s="3" t="s">
        <v>118</v>
      </c>
      <c r="B73">
        <v>26465.200000000001</v>
      </c>
    </row>
    <row r="74" spans="1:2" x14ac:dyDescent="0.3">
      <c r="A74" s="3" t="s">
        <v>119</v>
      </c>
      <c r="B74">
        <v>26130.5</v>
      </c>
    </row>
    <row r="75" spans="1:2" x14ac:dyDescent="0.3">
      <c r="A75" s="3" t="s">
        <v>120</v>
      </c>
      <c r="B75">
        <v>25875.8</v>
      </c>
    </row>
    <row r="76" spans="1:2" x14ac:dyDescent="0.3">
      <c r="A76" s="3" t="s">
        <v>121</v>
      </c>
      <c r="B76">
        <v>25875.4</v>
      </c>
    </row>
    <row r="77" spans="1:2" x14ac:dyDescent="0.3">
      <c r="A77" s="3" t="s">
        <v>122</v>
      </c>
      <c r="B77">
        <v>25818.400000000001</v>
      </c>
    </row>
    <row r="78" spans="1:2" x14ac:dyDescent="0.3">
      <c r="A78" s="3" t="s">
        <v>123</v>
      </c>
      <c r="B78">
        <v>25687.5</v>
      </c>
    </row>
    <row r="79" spans="1:2" x14ac:dyDescent="0.3">
      <c r="A79" s="3" t="s">
        <v>124</v>
      </c>
      <c r="B79">
        <v>25289.9</v>
      </c>
    </row>
    <row r="80" spans="1:2" x14ac:dyDescent="0.3">
      <c r="A80" s="3" t="s">
        <v>125</v>
      </c>
      <c r="B80">
        <v>25264.400000000001</v>
      </c>
    </row>
    <row r="81" spans="1:2" x14ac:dyDescent="0.3">
      <c r="A81" s="3" t="s">
        <v>126</v>
      </c>
      <c r="B81">
        <v>24888.6</v>
      </c>
    </row>
    <row r="82" spans="1:2" x14ac:dyDescent="0.3">
      <c r="A82" s="3" t="s">
        <v>127</v>
      </c>
      <c r="B82">
        <v>24807.4</v>
      </c>
    </row>
    <row r="83" spans="1:2" x14ac:dyDescent="0.3">
      <c r="A83" s="3" t="s">
        <v>128</v>
      </c>
      <c r="B83">
        <v>24607</v>
      </c>
    </row>
    <row r="84" spans="1:2" x14ac:dyDescent="0.3">
      <c r="A84" s="3" t="s">
        <v>132</v>
      </c>
      <c r="B84">
        <v>24440.1</v>
      </c>
    </row>
    <row r="85" spans="1:2" x14ac:dyDescent="0.3">
      <c r="A85" s="3" t="s">
        <v>133</v>
      </c>
      <c r="B85">
        <v>24217.200000000001</v>
      </c>
    </row>
    <row r="86" spans="1:2" x14ac:dyDescent="0.3">
      <c r="A86" s="3" t="s">
        <v>134</v>
      </c>
      <c r="B86">
        <v>23907.599999999999</v>
      </c>
    </row>
    <row r="87" spans="1:2" x14ac:dyDescent="0.3">
      <c r="A87" s="3" t="s">
        <v>135</v>
      </c>
      <c r="B87">
        <v>23845.1</v>
      </c>
    </row>
    <row r="88" spans="1:2" x14ac:dyDescent="0.3">
      <c r="A88" s="3" t="s">
        <v>136</v>
      </c>
      <c r="B88">
        <v>23705.9</v>
      </c>
    </row>
    <row r="89" spans="1:2" x14ac:dyDescent="0.3">
      <c r="A89" s="3" t="s">
        <v>137</v>
      </c>
      <c r="B89">
        <v>22494.9</v>
      </c>
    </row>
    <row r="90" spans="1:2" x14ac:dyDescent="0.3">
      <c r="A90" s="3" t="s">
        <v>138</v>
      </c>
      <c r="B90">
        <v>22475.8</v>
      </c>
    </row>
    <row r="91" spans="1:2" x14ac:dyDescent="0.3">
      <c r="A91" s="3" t="s">
        <v>139</v>
      </c>
      <c r="B91">
        <v>22236.1</v>
      </c>
    </row>
    <row r="92" spans="1:2" x14ac:dyDescent="0.3">
      <c r="A92" s="3" t="s">
        <v>141</v>
      </c>
      <c r="B92">
        <v>21937.3</v>
      </c>
    </row>
    <row r="93" spans="1:2" x14ac:dyDescent="0.3">
      <c r="A93" s="3" t="s">
        <v>142</v>
      </c>
      <c r="B93">
        <v>21873.8</v>
      </c>
    </row>
    <row r="94" spans="1:2" x14ac:dyDescent="0.3">
      <c r="A94" s="3" t="s">
        <v>143</v>
      </c>
      <c r="B94">
        <v>21546.2</v>
      </c>
    </row>
    <row r="95" spans="1:2" x14ac:dyDescent="0.3">
      <c r="A95" s="3" t="s">
        <v>145</v>
      </c>
      <c r="B95">
        <v>21202.3</v>
      </c>
    </row>
    <row r="96" spans="1:2" x14ac:dyDescent="0.3">
      <c r="A96" s="3" t="s">
        <v>146</v>
      </c>
      <c r="B96">
        <v>21182.2</v>
      </c>
    </row>
    <row r="97" spans="1:2" x14ac:dyDescent="0.3">
      <c r="A97" s="3" t="s">
        <v>147</v>
      </c>
      <c r="B97">
        <v>21003.5</v>
      </c>
    </row>
    <row r="98" spans="1:2" x14ac:dyDescent="0.3">
      <c r="A98" s="3" t="s">
        <v>149</v>
      </c>
      <c r="B98">
        <v>20670.8</v>
      </c>
    </row>
    <row r="99" spans="1:2" x14ac:dyDescent="0.3">
      <c r="A99" s="3" t="s">
        <v>150</v>
      </c>
      <c r="B99">
        <v>20644.8</v>
      </c>
    </row>
    <row r="100" spans="1:2" x14ac:dyDescent="0.3">
      <c r="A100" s="3" t="s">
        <v>151</v>
      </c>
      <c r="B100">
        <v>20549.2</v>
      </c>
    </row>
    <row r="101" spans="1:2" x14ac:dyDescent="0.3">
      <c r="A101" s="3" t="s">
        <v>153</v>
      </c>
      <c r="B101">
        <v>20444.599999999999</v>
      </c>
    </row>
    <row r="102" spans="1:2" x14ac:dyDescent="0.3">
      <c r="A102" s="3" t="s">
        <v>154</v>
      </c>
      <c r="B102">
        <v>20300.7</v>
      </c>
    </row>
    <row r="103" spans="1:2" x14ac:dyDescent="0.3">
      <c r="A103" s="3" t="s">
        <v>155</v>
      </c>
      <c r="B103">
        <v>20138.099999999999</v>
      </c>
    </row>
    <row r="104" spans="1:2" x14ac:dyDescent="0.3">
      <c r="A104" s="3" t="s">
        <v>156</v>
      </c>
      <c r="B104">
        <v>20091.099999999999</v>
      </c>
    </row>
    <row r="105" spans="1:2" x14ac:dyDescent="0.3">
      <c r="A105" s="3" t="s">
        <v>157</v>
      </c>
      <c r="B105">
        <v>19977.5</v>
      </c>
    </row>
    <row r="106" spans="1:2" x14ac:dyDescent="0.3">
      <c r="A106" s="3" t="s">
        <v>158</v>
      </c>
      <c r="B106">
        <v>19830.5</v>
      </c>
    </row>
    <row r="107" spans="1:2" x14ac:dyDescent="0.3">
      <c r="A107" s="3" t="s">
        <v>159</v>
      </c>
      <c r="B107">
        <v>19727.2</v>
      </c>
    </row>
    <row r="108" spans="1:2" x14ac:dyDescent="0.3">
      <c r="A108" s="3" t="s">
        <v>160</v>
      </c>
      <c r="B108">
        <v>19707.8</v>
      </c>
    </row>
    <row r="109" spans="1:2" x14ac:dyDescent="0.3">
      <c r="A109" s="3" t="s">
        <v>162</v>
      </c>
      <c r="B109">
        <v>19528.3</v>
      </c>
    </row>
    <row r="110" spans="1:2" x14ac:dyDescent="0.3">
      <c r="A110" s="3" t="s">
        <v>164</v>
      </c>
      <c r="B110">
        <v>19440.5</v>
      </c>
    </row>
    <row r="111" spans="1:2" x14ac:dyDescent="0.3">
      <c r="A111" s="3" t="s">
        <v>165</v>
      </c>
      <c r="B111">
        <v>19383.5</v>
      </c>
    </row>
    <row r="112" spans="1:2" x14ac:dyDescent="0.3">
      <c r="A112" s="3" t="s">
        <v>166</v>
      </c>
      <c r="B112">
        <v>19231.7</v>
      </c>
    </row>
    <row r="113" spans="1:2" x14ac:dyDescent="0.3">
      <c r="A113" s="3" t="s">
        <v>170</v>
      </c>
      <c r="B113">
        <v>19101.599999999999</v>
      </c>
    </row>
    <row r="114" spans="1:2" x14ac:dyDescent="0.3">
      <c r="A114" s="3" t="s">
        <v>171</v>
      </c>
      <c r="B114">
        <v>19090.400000000001</v>
      </c>
    </row>
    <row r="115" spans="1:2" x14ac:dyDescent="0.3">
      <c r="A115" s="3" t="s">
        <v>172</v>
      </c>
      <c r="B115">
        <v>18912.7</v>
      </c>
    </row>
    <row r="116" spans="1:2" x14ac:dyDescent="0.3">
      <c r="A116" s="3" t="s">
        <v>173</v>
      </c>
      <c r="B116">
        <v>18889.599999999999</v>
      </c>
    </row>
    <row r="117" spans="1:2" x14ac:dyDescent="0.3">
      <c r="A117" s="3" t="s">
        <v>174</v>
      </c>
      <c r="B117">
        <v>18707.3</v>
      </c>
    </row>
    <row r="118" spans="1:2" x14ac:dyDescent="0.3">
      <c r="A118" s="3" t="s">
        <v>175</v>
      </c>
      <c r="B118">
        <v>18649.5</v>
      </c>
    </row>
    <row r="119" spans="1:2" x14ac:dyDescent="0.3">
      <c r="A119" s="3" t="s">
        <v>176</v>
      </c>
      <c r="B119">
        <v>18627</v>
      </c>
    </row>
    <row r="120" spans="1:2" x14ac:dyDescent="0.3">
      <c r="A120" s="3" t="s">
        <v>177</v>
      </c>
      <c r="B120">
        <v>18580.599999999999</v>
      </c>
    </row>
    <row r="121" spans="1:2" x14ac:dyDescent="0.3">
      <c r="A121" s="3" t="s">
        <v>178</v>
      </c>
      <c r="B121">
        <v>18413.2</v>
      </c>
    </row>
    <row r="122" spans="1:2" x14ac:dyDescent="0.3">
      <c r="A122" s="3" t="s">
        <v>179</v>
      </c>
      <c r="B122">
        <v>18309.3</v>
      </c>
    </row>
    <row r="123" spans="1:2" x14ac:dyDescent="0.3">
      <c r="A123" s="3" t="s">
        <v>180</v>
      </c>
      <c r="B123">
        <v>18270.8</v>
      </c>
    </row>
    <row r="124" spans="1:2" x14ac:dyDescent="0.3">
      <c r="A124" s="3" t="s">
        <v>181</v>
      </c>
      <c r="B124">
        <v>18217.099999999999</v>
      </c>
    </row>
    <row r="125" spans="1:2" x14ac:dyDescent="0.3">
      <c r="A125" s="3" t="s">
        <v>183</v>
      </c>
      <c r="B125">
        <v>18203.3</v>
      </c>
    </row>
    <row r="126" spans="1:2" x14ac:dyDescent="0.3">
      <c r="A126" s="3" t="s">
        <v>186</v>
      </c>
      <c r="B126">
        <v>18064.3</v>
      </c>
    </row>
    <row r="127" spans="1:2" x14ac:dyDescent="0.3">
      <c r="A127" s="3" t="s">
        <v>187</v>
      </c>
      <c r="B127">
        <v>18005.3</v>
      </c>
    </row>
    <row r="128" spans="1:2" x14ac:dyDescent="0.3">
      <c r="A128" s="3" t="s">
        <v>188</v>
      </c>
      <c r="B128">
        <v>17738.8</v>
      </c>
    </row>
    <row r="129" spans="1:2" x14ac:dyDescent="0.3">
      <c r="A129" s="3" t="s">
        <v>189</v>
      </c>
      <c r="B129">
        <v>17720.2</v>
      </c>
    </row>
    <row r="130" spans="1:2" x14ac:dyDescent="0.3">
      <c r="A130" s="3" t="s">
        <v>190</v>
      </c>
      <c r="B130">
        <v>17517.400000000001</v>
      </c>
    </row>
    <row r="131" spans="1:2" x14ac:dyDescent="0.3">
      <c r="A131" s="3" t="s">
        <v>191</v>
      </c>
      <c r="B131">
        <v>17516.099999999999</v>
      </c>
    </row>
    <row r="132" spans="1:2" x14ac:dyDescent="0.3">
      <c r="A132" s="3" t="s">
        <v>192</v>
      </c>
      <c r="B132">
        <v>17440.2</v>
      </c>
    </row>
    <row r="133" spans="1:2" x14ac:dyDescent="0.3">
      <c r="A133" s="3" t="s">
        <v>193</v>
      </c>
      <c r="B133">
        <v>17316.599999999999</v>
      </c>
    </row>
    <row r="134" spans="1:2" x14ac:dyDescent="0.3">
      <c r="A134" s="3" t="s">
        <v>194</v>
      </c>
      <c r="B134">
        <v>17314.099999999999</v>
      </c>
    </row>
    <row r="135" spans="1:2" x14ac:dyDescent="0.3">
      <c r="A135" s="3" t="s">
        <v>195</v>
      </c>
      <c r="B135">
        <v>17119.5</v>
      </c>
    </row>
    <row r="136" spans="1:2" x14ac:dyDescent="0.3">
      <c r="A136" s="3" t="s">
        <v>196</v>
      </c>
      <c r="B136">
        <v>17056</v>
      </c>
    </row>
    <row r="137" spans="1:2" x14ac:dyDescent="0.3">
      <c r="A137" s="3" t="s">
        <v>198</v>
      </c>
      <c r="B137">
        <v>17010.5</v>
      </c>
    </row>
    <row r="138" spans="1:2" x14ac:dyDescent="0.3">
      <c r="A138" s="3" t="s">
        <v>199</v>
      </c>
      <c r="B138">
        <v>16984.3</v>
      </c>
    </row>
    <row r="139" spans="1:2" x14ac:dyDescent="0.3">
      <c r="A139" s="3" t="s">
        <v>200</v>
      </c>
      <c r="B139">
        <v>16969.400000000001</v>
      </c>
    </row>
    <row r="140" spans="1:2" x14ac:dyDescent="0.3">
      <c r="A140" s="3" t="s">
        <v>201</v>
      </c>
      <c r="B140">
        <v>16893.400000000001</v>
      </c>
    </row>
    <row r="141" spans="1:2" x14ac:dyDescent="0.3">
      <c r="A141" s="3" t="s">
        <v>202</v>
      </c>
      <c r="B141">
        <v>16877.3</v>
      </c>
    </row>
    <row r="142" spans="1:2" x14ac:dyDescent="0.3">
      <c r="A142" s="3" t="s">
        <v>203</v>
      </c>
      <c r="B142">
        <v>16577.5</v>
      </c>
    </row>
    <row r="143" spans="1:2" x14ac:dyDescent="0.3">
      <c r="A143" s="3" t="s">
        <v>204</v>
      </c>
      <c r="B143">
        <v>16556.5</v>
      </c>
    </row>
    <row r="144" spans="1:2" x14ac:dyDescent="0.3">
      <c r="A144" s="3" t="s">
        <v>206</v>
      </c>
      <c r="B144">
        <v>16553.3</v>
      </c>
    </row>
    <row r="145" spans="1:2" x14ac:dyDescent="0.3">
      <c r="A145" s="3" t="s">
        <v>207</v>
      </c>
      <c r="B145">
        <v>16454.900000000001</v>
      </c>
    </row>
    <row r="146" spans="1:2" x14ac:dyDescent="0.3">
      <c r="A146" s="3" t="s">
        <v>208</v>
      </c>
      <c r="B146">
        <v>16428.900000000001</v>
      </c>
    </row>
    <row r="147" spans="1:2" x14ac:dyDescent="0.3">
      <c r="A147" s="3" t="s">
        <v>209</v>
      </c>
      <c r="B147">
        <v>16366.1</v>
      </c>
    </row>
    <row r="148" spans="1:2" x14ac:dyDescent="0.3">
      <c r="A148" s="3" t="s">
        <v>210</v>
      </c>
      <c r="B148">
        <v>16271.6</v>
      </c>
    </row>
    <row r="149" spans="1:2" x14ac:dyDescent="0.3">
      <c r="A149" s="3" t="s">
        <v>211</v>
      </c>
      <c r="B149">
        <v>16228.7</v>
      </c>
    </row>
    <row r="150" spans="1:2" x14ac:dyDescent="0.3">
      <c r="A150" s="3" t="s">
        <v>212</v>
      </c>
      <c r="B150">
        <v>16217.4</v>
      </c>
    </row>
    <row r="151" spans="1:2" x14ac:dyDescent="0.3">
      <c r="A151" s="3" t="s">
        <v>213</v>
      </c>
      <c r="B151">
        <v>16148.3</v>
      </c>
    </row>
    <row r="152" spans="1:2" x14ac:dyDescent="0.3">
      <c r="A152" s="3" t="s">
        <v>214</v>
      </c>
      <c r="B152">
        <v>16111.6</v>
      </c>
    </row>
    <row r="153" spans="1:2" x14ac:dyDescent="0.3">
      <c r="A153" s="3" t="s">
        <v>215</v>
      </c>
      <c r="B153">
        <v>16021.1</v>
      </c>
    </row>
    <row r="154" spans="1:2" x14ac:dyDescent="0.3">
      <c r="A154" s="3" t="s">
        <v>216</v>
      </c>
      <c r="B154">
        <v>15952.2</v>
      </c>
    </row>
    <row r="155" spans="1:2" x14ac:dyDescent="0.3">
      <c r="A155" s="3" t="s">
        <v>217</v>
      </c>
      <c r="B155">
        <v>15921.1</v>
      </c>
    </row>
    <row r="156" spans="1:2" x14ac:dyDescent="0.3">
      <c r="A156" s="3" t="s">
        <v>218</v>
      </c>
      <c r="B156">
        <v>15876.2</v>
      </c>
    </row>
    <row r="157" spans="1:2" x14ac:dyDescent="0.3">
      <c r="A157" s="3" t="s">
        <v>219</v>
      </c>
      <c r="B157">
        <v>15775.7</v>
      </c>
    </row>
    <row r="158" spans="1:2" x14ac:dyDescent="0.3">
      <c r="A158" s="3" t="s">
        <v>220</v>
      </c>
      <c r="B158">
        <v>15746</v>
      </c>
    </row>
    <row r="159" spans="1:2" x14ac:dyDescent="0.3">
      <c r="A159" s="3" t="s">
        <v>221</v>
      </c>
      <c r="B159">
        <v>15723</v>
      </c>
    </row>
    <row r="160" spans="1:2" x14ac:dyDescent="0.3">
      <c r="A160" s="3" t="s">
        <v>222</v>
      </c>
      <c r="B160">
        <v>15684.7</v>
      </c>
    </row>
    <row r="161" spans="1:2" x14ac:dyDescent="0.3">
      <c r="A161" s="3" t="s">
        <v>224</v>
      </c>
      <c r="B161">
        <v>15638.8</v>
      </c>
    </row>
    <row r="162" spans="1:2" x14ac:dyDescent="0.3">
      <c r="A162" s="3" t="s">
        <v>225</v>
      </c>
      <c r="B162">
        <v>15562.1</v>
      </c>
    </row>
    <row r="163" spans="1:2" x14ac:dyDescent="0.3">
      <c r="A163" s="3" t="s">
        <v>226</v>
      </c>
      <c r="B163">
        <v>15561.7</v>
      </c>
    </row>
    <row r="164" spans="1:2" x14ac:dyDescent="0.3">
      <c r="A164" s="3" t="s">
        <v>227</v>
      </c>
      <c r="B164">
        <v>15528.2</v>
      </c>
    </row>
    <row r="165" spans="1:2" x14ac:dyDescent="0.3">
      <c r="A165" s="3" t="s">
        <v>228</v>
      </c>
      <c r="B165">
        <v>15525.6</v>
      </c>
    </row>
    <row r="166" spans="1:2" x14ac:dyDescent="0.3">
      <c r="A166" s="3" t="s">
        <v>229</v>
      </c>
      <c r="B166">
        <v>15453.3</v>
      </c>
    </row>
    <row r="167" spans="1:2" x14ac:dyDescent="0.3">
      <c r="A167" s="3" t="s">
        <v>230</v>
      </c>
      <c r="B167">
        <v>15329.4</v>
      </c>
    </row>
    <row r="168" spans="1:2" x14ac:dyDescent="0.3">
      <c r="A168" s="3" t="s">
        <v>231</v>
      </c>
      <c r="B168">
        <v>15252.2</v>
      </c>
    </row>
    <row r="169" spans="1:2" x14ac:dyDescent="0.3">
      <c r="A169" s="3" t="s">
        <v>232</v>
      </c>
      <c r="B169">
        <v>15240.4</v>
      </c>
    </row>
    <row r="170" spans="1:2" x14ac:dyDescent="0.3">
      <c r="A170" s="3" t="s">
        <v>234</v>
      </c>
      <c r="B170">
        <v>15133</v>
      </c>
    </row>
    <row r="171" spans="1:2" x14ac:dyDescent="0.3">
      <c r="A171" s="3" t="s">
        <v>235</v>
      </c>
      <c r="B171">
        <v>15086.8</v>
      </c>
    </row>
    <row r="172" spans="1:2" x14ac:dyDescent="0.3">
      <c r="A172" s="3" t="s">
        <v>236</v>
      </c>
      <c r="B172">
        <v>15041.1</v>
      </c>
    </row>
    <row r="173" spans="1:2" x14ac:dyDescent="0.3">
      <c r="A173" s="3" t="s">
        <v>237</v>
      </c>
      <c r="B173">
        <v>14992.7</v>
      </c>
    </row>
    <row r="174" spans="1:2" x14ac:dyDescent="0.3">
      <c r="A174" s="3" t="s">
        <v>238</v>
      </c>
      <c r="B174">
        <v>14947.4</v>
      </c>
    </row>
    <row r="175" spans="1:2" x14ac:dyDescent="0.3">
      <c r="A175" s="3" t="s">
        <v>239</v>
      </c>
      <c r="B175">
        <v>14897.8</v>
      </c>
    </row>
    <row r="176" spans="1:2" x14ac:dyDescent="0.3">
      <c r="A176" s="3" t="s">
        <v>240</v>
      </c>
      <c r="B176">
        <v>14888.6</v>
      </c>
    </row>
    <row r="177" spans="1:2" x14ac:dyDescent="0.3">
      <c r="A177" s="3" t="s">
        <v>241</v>
      </c>
      <c r="B177">
        <v>14880.2</v>
      </c>
    </row>
    <row r="178" spans="1:2" x14ac:dyDescent="0.3">
      <c r="A178" s="3" t="s">
        <v>242</v>
      </c>
      <c r="B178">
        <v>14558.4</v>
      </c>
    </row>
    <row r="179" spans="1:2" x14ac:dyDescent="0.3">
      <c r="A179" s="3" t="s">
        <v>244</v>
      </c>
      <c r="B179">
        <v>14544.4</v>
      </c>
    </row>
    <row r="180" spans="1:2" x14ac:dyDescent="0.3">
      <c r="A180" s="3" t="s">
        <v>245</v>
      </c>
      <c r="B180">
        <v>14512.1</v>
      </c>
    </row>
    <row r="181" spans="1:2" x14ac:dyDescent="0.3">
      <c r="A181" s="3" t="s">
        <v>247</v>
      </c>
      <c r="B181">
        <v>14507.7</v>
      </c>
    </row>
    <row r="182" spans="1:2" x14ac:dyDescent="0.3">
      <c r="A182" s="3" t="s">
        <v>248</v>
      </c>
      <c r="B182">
        <v>14506.3</v>
      </c>
    </row>
    <row r="183" spans="1:2" x14ac:dyDescent="0.3">
      <c r="A183" s="3" t="s">
        <v>249</v>
      </c>
      <c r="B183">
        <v>14404.4</v>
      </c>
    </row>
    <row r="184" spans="1:2" x14ac:dyDescent="0.3">
      <c r="A184" s="3" t="s">
        <v>250</v>
      </c>
      <c r="B184">
        <v>14402.6</v>
      </c>
    </row>
    <row r="185" spans="1:2" x14ac:dyDescent="0.3">
      <c r="A185" s="3" t="s">
        <v>251</v>
      </c>
      <c r="B185">
        <v>14402.3</v>
      </c>
    </row>
    <row r="186" spans="1:2" x14ac:dyDescent="0.3">
      <c r="A186" s="3" t="s">
        <v>252</v>
      </c>
      <c r="B186">
        <v>14387.1</v>
      </c>
    </row>
    <row r="187" spans="1:2" x14ac:dyDescent="0.3">
      <c r="A187" s="3" t="s">
        <v>253</v>
      </c>
      <c r="B187">
        <v>14345.2</v>
      </c>
    </row>
    <row r="188" spans="1:2" x14ac:dyDescent="0.3">
      <c r="A188" s="3" t="s">
        <v>254</v>
      </c>
      <c r="B188">
        <v>14293.7</v>
      </c>
    </row>
    <row r="189" spans="1:2" x14ac:dyDescent="0.3">
      <c r="A189" s="3" t="s">
        <v>255</v>
      </c>
      <c r="B189">
        <v>14221.3</v>
      </c>
    </row>
    <row r="190" spans="1:2" x14ac:dyDescent="0.3">
      <c r="A190" s="3" t="s">
        <v>256</v>
      </c>
      <c r="B190">
        <v>14166.6</v>
      </c>
    </row>
    <row r="191" spans="1:2" x14ac:dyDescent="0.3">
      <c r="A191" s="3" t="s">
        <v>257</v>
      </c>
      <c r="B191">
        <v>14127.8</v>
      </c>
    </row>
    <row r="192" spans="1:2" x14ac:dyDescent="0.3">
      <c r="A192" s="3" t="s">
        <v>259</v>
      </c>
      <c r="B192">
        <v>14116.7</v>
      </c>
    </row>
    <row r="193" spans="1:2" x14ac:dyDescent="0.3">
      <c r="A193" s="3" t="s">
        <v>260</v>
      </c>
      <c r="B193">
        <v>14104.4</v>
      </c>
    </row>
    <row r="194" spans="1:2" x14ac:dyDescent="0.3">
      <c r="A194" s="3" t="s">
        <v>261</v>
      </c>
      <c r="B194">
        <v>14087.8</v>
      </c>
    </row>
    <row r="195" spans="1:2" x14ac:dyDescent="0.3">
      <c r="A195" s="3" t="s">
        <v>262</v>
      </c>
      <c r="B195">
        <v>13999.3</v>
      </c>
    </row>
    <row r="196" spans="1:2" x14ac:dyDescent="0.3">
      <c r="A196" s="3" t="s">
        <v>263</v>
      </c>
      <c r="B196">
        <v>13994.1</v>
      </c>
    </row>
    <row r="197" spans="1:2" x14ac:dyDescent="0.3">
      <c r="A197" s="3" t="s">
        <v>264</v>
      </c>
      <c r="B197">
        <v>13994</v>
      </c>
    </row>
    <row r="198" spans="1:2" x14ac:dyDescent="0.3">
      <c r="A198" s="3" t="s">
        <v>265</v>
      </c>
      <c r="B198">
        <v>13978.6</v>
      </c>
    </row>
    <row r="199" spans="1:2" x14ac:dyDescent="0.3">
      <c r="A199" s="3" t="s">
        <v>266</v>
      </c>
      <c r="B199">
        <v>13891.9</v>
      </c>
    </row>
    <row r="200" spans="1:2" x14ac:dyDescent="0.3">
      <c r="A200" s="3" t="s">
        <v>267</v>
      </c>
      <c r="B200">
        <v>13890.6</v>
      </c>
    </row>
    <row r="201" spans="1:2" x14ac:dyDescent="0.3">
      <c r="A201" s="3" t="s">
        <v>268</v>
      </c>
      <c r="B201">
        <v>13734.1</v>
      </c>
    </row>
    <row r="202" spans="1:2" x14ac:dyDescent="0.3">
      <c r="A202" s="3" t="s">
        <v>269</v>
      </c>
      <c r="B202">
        <v>13692</v>
      </c>
    </row>
    <row r="203" spans="1:2" x14ac:dyDescent="0.3">
      <c r="A203" s="3" t="s">
        <v>270</v>
      </c>
      <c r="B203">
        <v>13683</v>
      </c>
    </row>
    <row r="204" spans="1:2" x14ac:dyDescent="0.3">
      <c r="A204" s="3" t="s">
        <v>271</v>
      </c>
      <c r="B204">
        <v>13650.2</v>
      </c>
    </row>
    <row r="205" spans="1:2" x14ac:dyDescent="0.3">
      <c r="A205" s="3" t="s">
        <v>272</v>
      </c>
      <c r="B205">
        <v>13543.1</v>
      </c>
    </row>
    <row r="206" spans="1:2" x14ac:dyDescent="0.3">
      <c r="A206" s="3" t="s">
        <v>274</v>
      </c>
      <c r="B206">
        <v>13532</v>
      </c>
    </row>
    <row r="207" spans="1:2" x14ac:dyDescent="0.3">
      <c r="A207" s="3" t="s">
        <v>275</v>
      </c>
      <c r="B207">
        <v>13503.4</v>
      </c>
    </row>
    <row r="208" spans="1:2" x14ac:dyDescent="0.3">
      <c r="A208" s="3" t="s">
        <v>276</v>
      </c>
      <c r="B208">
        <v>13490.4</v>
      </c>
    </row>
    <row r="209" spans="1:2" x14ac:dyDescent="0.3">
      <c r="A209" s="3" t="s">
        <v>277</v>
      </c>
      <c r="B209">
        <v>13468.7</v>
      </c>
    </row>
    <row r="210" spans="1:2" x14ac:dyDescent="0.3">
      <c r="A210" s="3" t="s">
        <v>278</v>
      </c>
      <c r="B210">
        <v>13433.6</v>
      </c>
    </row>
    <row r="211" spans="1:2" x14ac:dyDescent="0.3">
      <c r="A211" s="3" t="s">
        <v>279</v>
      </c>
      <c r="B211">
        <v>13404.2</v>
      </c>
    </row>
    <row r="212" spans="1:2" x14ac:dyDescent="0.3">
      <c r="A212" s="3" t="s">
        <v>280</v>
      </c>
      <c r="B212">
        <v>13398.3</v>
      </c>
    </row>
    <row r="213" spans="1:2" x14ac:dyDescent="0.3">
      <c r="A213" s="3" t="s">
        <v>281</v>
      </c>
      <c r="B213">
        <v>13323.2</v>
      </c>
    </row>
    <row r="214" spans="1:2" x14ac:dyDescent="0.3">
      <c r="A214" s="3" t="s">
        <v>282</v>
      </c>
      <c r="B214">
        <v>13320.3</v>
      </c>
    </row>
    <row r="215" spans="1:2" x14ac:dyDescent="0.3">
      <c r="A215" s="3" t="s">
        <v>283</v>
      </c>
      <c r="B215">
        <v>13291</v>
      </c>
    </row>
    <row r="216" spans="1:2" x14ac:dyDescent="0.3">
      <c r="A216" s="3" t="s">
        <v>284</v>
      </c>
      <c r="B216">
        <v>13287</v>
      </c>
    </row>
    <row r="217" spans="1:2" x14ac:dyDescent="0.3">
      <c r="A217" s="3" t="s">
        <v>285</v>
      </c>
      <c r="B217">
        <v>13281.8</v>
      </c>
    </row>
    <row r="218" spans="1:2" x14ac:dyDescent="0.3">
      <c r="A218" s="3" t="s">
        <v>286</v>
      </c>
      <c r="B218">
        <v>13273.4</v>
      </c>
    </row>
    <row r="219" spans="1:2" x14ac:dyDescent="0.3">
      <c r="A219" s="3" t="s">
        <v>287</v>
      </c>
      <c r="B219">
        <v>13220.4</v>
      </c>
    </row>
    <row r="220" spans="1:2" x14ac:dyDescent="0.3">
      <c r="A220" s="3" t="s">
        <v>288</v>
      </c>
      <c r="B220">
        <v>13208.3</v>
      </c>
    </row>
    <row r="221" spans="1:2" x14ac:dyDescent="0.3">
      <c r="A221" s="3" t="s">
        <v>289</v>
      </c>
      <c r="B221">
        <v>13065.7</v>
      </c>
    </row>
    <row r="222" spans="1:2" x14ac:dyDescent="0.3">
      <c r="A222" s="3" t="s">
        <v>290</v>
      </c>
      <c r="B222">
        <v>13039.8</v>
      </c>
    </row>
    <row r="223" spans="1:2" x14ac:dyDescent="0.3">
      <c r="A223" s="3" t="s">
        <v>291</v>
      </c>
      <c r="B223">
        <v>13009.4</v>
      </c>
    </row>
    <row r="224" spans="1:2" x14ac:dyDescent="0.3">
      <c r="A224" s="3" t="s">
        <v>293</v>
      </c>
      <c r="B224">
        <v>12994.4</v>
      </c>
    </row>
    <row r="225" spans="1:2" x14ac:dyDescent="0.3">
      <c r="A225" s="3" t="s">
        <v>294</v>
      </c>
      <c r="B225">
        <v>12992.2</v>
      </c>
    </row>
    <row r="226" spans="1:2" x14ac:dyDescent="0.3">
      <c r="A226" s="3" t="s">
        <v>295</v>
      </c>
      <c r="B226">
        <v>12985.2</v>
      </c>
    </row>
    <row r="227" spans="1:2" x14ac:dyDescent="0.3">
      <c r="A227" s="3" t="s">
        <v>296</v>
      </c>
      <c r="B227">
        <v>12929.7</v>
      </c>
    </row>
    <row r="228" spans="1:2" x14ac:dyDescent="0.3">
      <c r="A228" s="3" t="s">
        <v>297</v>
      </c>
      <c r="B228">
        <v>12857.9</v>
      </c>
    </row>
    <row r="229" spans="1:2" x14ac:dyDescent="0.3">
      <c r="A229" s="3" t="s">
        <v>298</v>
      </c>
      <c r="B229">
        <v>12823.8</v>
      </c>
    </row>
    <row r="230" spans="1:2" x14ac:dyDescent="0.3">
      <c r="A230" s="3" t="s">
        <v>299</v>
      </c>
      <c r="B230">
        <v>12810.9</v>
      </c>
    </row>
    <row r="231" spans="1:2" x14ac:dyDescent="0.3">
      <c r="A231" s="3" t="s">
        <v>300</v>
      </c>
      <c r="B231">
        <v>12799.8</v>
      </c>
    </row>
    <row r="232" spans="1:2" x14ac:dyDescent="0.3">
      <c r="A232" s="3" t="s">
        <v>301</v>
      </c>
      <c r="B232">
        <v>12788.3</v>
      </c>
    </row>
    <row r="233" spans="1:2" x14ac:dyDescent="0.3">
      <c r="A233" s="3" t="s">
        <v>302</v>
      </c>
      <c r="B233">
        <v>12751</v>
      </c>
    </row>
    <row r="234" spans="1:2" x14ac:dyDescent="0.3">
      <c r="A234" s="3" t="s">
        <v>303</v>
      </c>
      <c r="B234">
        <v>12716.2</v>
      </c>
    </row>
    <row r="235" spans="1:2" x14ac:dyDescent="0.3">
      <c r="A235" s="3" t="s">
        <v>304</v>
      </c>
      <c r="B235">
        <v>12713.2</v>
      </c>
    </row>
    <row r="236" spans="1:2" x14ac:dyDescent="0.3">
      <c r="A236" s="3" t="s">
        <v>305</v>
      </c>
      <c r="B236">
        <v>12700.7</v>
      </c>
    </row>
    <row r="237" spans="1:2" x14ac:dyDescent="0.3">
      <c r="A237" s="3" t="s">
        <v>306</v>
      </c>
      <c r="B237">
        <v>12650.8</v>
      </c>
    </row>
    <row r="238" spans="1:2" x14ac:dyDescent="0.3">
      <c r="A238" s="3" t="s">
        <v>307</v>
      </c>
      <c r="B238">
        <v>12647.5</v>
      </c>
    </row>
    <row r="239" spans="1:2" x14ac:dyDescent="0.3">
      <c r="A239" s="3" t="s">
        <v>308</v>
      </c>
      <c r="B239">
        <v>12593.2</v>
      </c>
    </row>
    <row r="240" spans="1:2" x14ac:dyDescent="0.3">
      <c r="A240" s="3" t="s">
        <v>309</v>
      </c>
      <c r="B240">
        <v>12593</v>
      </c>
    </row>
    <row r="241" spans="1:2" x14ac:dyDescent="0.3">
      <c r="A241" s="3" t="s">
        <v>310</v>
      </c>
      <c r="B241">
        <v>12566.2</v>
      </c>
    </row>
    <row r="242" spans="1:2" x14ac:dyDescent="0.3">
      <c r="A242" s="3" t="s">
        <v>311</v>
      </c>
      <c r="B242">
        <v>12421.7</v>
      </c>
    </row>
    <row r="243" spans="1:2" x14ac:dyDescent="0.3">
      <c r="A243" s="3" t="s">
        <v>312</v>
      </c>
      <c r="B243">
        <v>12403.3</v>
      </c>
    </row>
    <row r="244" spans="1:2" x14ac:dyDescent="0.3">
      <c r="A244" s="3" t="s">
        <v>313</v>
      </c>
      <c r="B244">
        <v>12394.6</v>
      </c>
    </row>
    <row r="245" spans="1:2" x14ac:dyDescent="0.3">
      <c r="A245" s="3" t="s">
        <v>314</v>
      </c>
      <c r="B245">
        <v>12324.9</v>
      </c>
    </row>
    <row r="246" spans="1:2" x14ac:dyDescent="0.3">
      <c r="A246" s="3" t="s">
        <v>315</v>
      </c>
      <c r="B246">
        <v>12209.5</v>
      </c>
    </row>
    <row r="247" spans="1:2" x14ac:dyDescent="0.3">
      <c r="A247" s="3" t="s">
        <v>316</v>
      </c>
      <c r="B247">
        <v>12151.3</v>
      </c>
    </row>
    <row r="248" spans="1:2" x14ac:dyDescent="0.3">
      <c r="A248" s="3" t="s">
        <v>317</v>
      </c>
      <c r="B248">
        <v>12136.7</v>
      </c>
    </row>
    <row r="249" spans="1:2" x14ac:dyDescent="0.3">
      <c r="A249" s="3" t="s">
        <v>318</v>
      </c>
      <c r="B249">
        <v>12099.6</v>
      </c>
    </row>
    <row r="250" spans="1:2" x14ac:dyDescent="0.3">
      <c r="A250" s="3" t="s">
        <v>319</v>
      </c>
      <c r="B250">
        <v>12094.7</v>
      </c>
    </row>
    <row r="251" spans="1:2" x14ac:dyDescent="0.3">
      <c r="A251" s="3" t="s">
        <v>320</v>
      </c>
      <c r="B251">
        <v>11966.9</v>
      </c>
    </row>
    <row r="252" spans="1:2" x14ac:dyDescent="0.3">
      <c r="A252" s="3" t="s">
        <v>321</v>
      </c>
      <c r="B252">
        <v>11879.6</v>
      </c>
    </row>
    <row r="253" spans="1:2" x14ac:dyDescent="0.3">
      <c r="A253" s="3" t="s">
        <v>322</v>
      </c>
      <c r="B253">
        <v>11853.7</v>
      </c>
    </row>
    <row r="254" spans="1:2" x14ac:dyDescent="0.3">
      <c r="A254" s="3" t="s">
        <v>323</v>
      </c>
      <c r="B254">
        <v>11821.6</v>
      </c>
    </row>
    <row r="255" spans="1:2" x14ac:dyDescent="0.3">
      <c r="A255" s="3" t="s">
        <v>324</v>
      </c>
      <c r="B255">
        <v>11817.1</v>
      </c>
    </row>
    <row r="256" spans="1:2" x14ac:dyDescent="0.3">
      <c r="A256" s="3" t="s">
        <v>325</v>
      </c>
      <c r="B256">
        <v>11783.3</v>
      </c>
    </row>
    <row r="257" spans="1:2" x14ac:dyDescent="0.3">
      <c r="A257" s="3" t="s">
        <v>326</v>
      </c>
      <c r="B257">
        <v>11721</v>
      </c>
    </row>
    <row r="258" spans="1:2" x14ac:dyDescent="0.3">
      <c r="A258" s="3" t="s">
        <v>328</v>
      </c>
      <c r="B258">
        <v>11715.1</v>
      </c>
    </row>
    <row r="259" spans="1:2" x14ac:dyDescent="0.3">
      <c r="A259" s="3" t="s">
        <v>329</v>
      </c>
      <c r="B259">
        <v>11678.7</v>
      </c>
    </row>
    <row r="260" spans="1:2" x14ac:dyDescent="0.3">
      <c r="A260" s="3" t="s">
        <v>330</v>
      </c>
      <c r="B260">
        <v>11640.6</v>
      </c>
    </row>
    <row r="261" spans="1:2" x14ac:dyDescent="0.3">
      <c r="A261" s="3" t="s">
        <v>332</v>
      </c>
      <c r="B261">
        <v>11632.9</v>
      </c>
    </row>
    <row r="262" spans="1:2" x14ac:dyDescent="0.3">
      <c r="A262" s="3" t="s">
        <v>333</v>
      </c>
      <c r="B262">
        <v>11588.8</v>
      </c>
    </row>
    <row r="263" spans="1:2" x14ac:dyDescent="0.3">
      <c r="A263" s="3" t="s">
        <v>334</v>
      </c>
      <c r="B263">
        <v>11575.2</v>
      </c>
    </row>
    <row r="264" spans="1:2" x14ac:dyDescent="0.3">
      <c r="A264" s="3" t="s">
        <v>335</v>
      </c>
      <c r="B264">
        <v>11566.2</v>
      </c>
    </row>
    <row r="265" spans="1:2" x14ac:dyDescent="0.3">
      <c r="A265" s="3" t="s">
        <v>337</v>
      </c>
      <c r="B265">
        <v>11481.4</v>
      </c>
    </row>
    <row r="266" spans="1:2" x14ac:dyDescent="0.3">
      <c r="A266" s="3" t="s">
        <v>339</v>
      </c>
      <c r="B266">
        <v>11480.4</v>
      </c>
    </row>
    <row r="267" spans="1:2" x14ac:dyDescent="0.3">
      <c r="A267" s="3" t="s">
        <v>340</v>
      </c>
      <c r="B267">
        <v>11475.1</v>
      </c>
    </row>
    <row r="268" spans="1:2" x14ac:dyDescent="0.3">
      <c r="A268" s="3" t="s">
        <v>341</v>
      </c>
      <c r="B268">
        <v>11459.5</v>
      </c>
    </row>
    <row r="269" spans="1:2" x14ac:dyDescent="0.3">
      <c r="A269" s="3" t="s">
        <v>342</v>
      </c>
      <c r="B269">
        <v>11428.5</v>
      </c>
    </row>
    <row r="270" spans="1:2" x14ac:dyDescent="0.3">
      <c r="A270" s="3" t="s">
        <v>343</v>
      </c>
      <c r="B270">
        <v>11314.2</v>
      </c>
    </row>
    <row r="271" spans="1:2" x14ac:dyDescent="0.3">
      <c r="A271" s="3" t="s">
        <v>344</v>
      </c>
      <c r="B271">
        <v>11238.2</v>
      </c>
    </row>
    <row r="272" spans="1:2" x14ac:dyDescent="0.3">
      <c r="A272" s="3" t="s">
        <v>345</v>
      </c>
      <c r="B272">
        <v>11232.6</v>
      </c>
    </row>
    <row r="273" spans="1:2" x14ac:dyDescent="0.3">
      <c r="A273" s="3" t="s">
        <v>346</v>
      </c>
      <c r="B273">
        <v>11198.8</v>
      </c>
    </row>
    <row r="274" spans="1:2" x14ac:dyDescent="0.3">
      <c r="A274" s="3" t="s">
        <v>347</v>
      </c>
      <c r="B274">
        <v>11196</v>
      </c>
    </row>
    <row r="275" spans="1:2" x14ac:dyDescent="0.3">
      <c r="A275" s="3" t="s">
        <v>348</v>
      </c>
      <c r="B275">
        <v>11149</v>
      </c>
    </row>
    <row r="276" spans="1:2" x14ac:dyDescent="0.3">
      <c r="A276" s="3" t="s">
        <v>351</v>
      </c>
      <c r="B276">
        <v>11063.6</v>
      </c>
    </row>
    <row r="277" spans="1:2" x14ac:dyDescent="0.3">
      <c r="A277" s="3" t="s">
        <v>352</v>
      </c>
      <c r="B277">
        <v>11060.5</v>
      </c>
    </row>
    <row r="278" spans="1:2" x14ac:dyDescent="0.3">
      <c r="A278" s="3" t="s">
        <v>353</v>
      </c>
      <c r="B278">
        <v>11051.4</v>
      </c>
    </row>
    <row r="279" spans="1:2" x14ac:dyDescent="0.3">
      <c r="A279" s="3" t="s">
        <v>354</v>
      </c>
      <c r="B279">
        <v>11014.9</v>
      </c>
    </row>
    <row r="280" spans="1:2" x14ac:dyDescent="0.3">
      <c r="A280" s="3" t="s">
        <v>355</v>
      </c>
      <c r="B280">
        <v>10985.7</v>
      </c>
    </row>
    <row r="281" spans="1:2" x14ac:dyDescent="0.3">
      <c r="A281" s="3" t="s">
        <v>356</v>
      </c>
      <c r="B281">
        <v>10974</v>
      </c>
    </row>
    <row r="282" spans="1:2" x14ac:dyDescent="0.3">
      <c r="A282" s="3" t="s">
        <v>357</v>
      </c>
      <c r="B282">
        <v>10968.8</v>
      </c>
    </row>
    <row r="283" spans="1:2" x14ac:dyDescent="0.3">
      <c r="A283" s="3" t="s">
        <v>358</v>
      </c>
      <c r="B283">
        <v>10939.4</v>
      </c>
    </row>
    <row r="284" spans="1:2" x14ac:dyDescent="0.3">
      <c r="A284" s="3" t="s">
        <v>359</v>
      </c>
      <c r="B284">
        <v>10933.4</v>
      </c>
    </row>
    <row r="285" spans="1:2" x14ac:dyDescent="0.3">
      <c r="A285" s="3" t="s">
        <v>360</v>
      </c>
      <c r="B285">
        <v>10914.2</v>
      </c>
    </row>
    <row r="286" spans="1:2" x14ac:dyDescent="0.3">
      <c r="A286" s="3" t="s">
        <v>361</v>
      </c>
      <c r="B286">
        <v>10902.6</v>
      </c>
    </row>
    <row r="287" spans="1:2" x14ac:dyDescent="0.3">
      <c r="A287" s="3" t="s">
        <v>362</v>
      </c>
      <c r="B287">
        <v>10783.2</v>
      </c>
    </row>
    <row r="288" spans="1:2" x14ac:dyDescent="0.3">
      <c r="A288" s="3" t="s">
        <v>363</v>
      </c>
      <c r="B288">
        <v>10776.2</v>
      </c>
    </row>
    <row r="289" spans="1:2" x14ac:dyDescent="0.3">
      <c r="A289" s="3" t="s">
        <v>364</v>
      </c>
      <c r="B289">
        <v>10772</v>
      </c>
    </row>
    <row r="290" spans="1:2" x14ac:dyDescent="0.3">
      <c r="A290" s="3" t="s">
        <v>365</v>
      </c>
      <c r="B290">
        <v>10771.3</v>
      </c>
    </row>
    <row r="291" spans="1:2" x14ac:dyDescent="0.3">
      <c r="A291" s="3" t="s">
        <v>366</v>
      </c>
      <c r="B291">
        <v>10767.6</v>
      </c>
    </row>
    <row r="292" spans="1:2" x14ac:dyDescent="0.3">
      <c r="A292" s="3" t="s">
        <v>367</v>
      </c>
      <c r="B292">
        <v>10760.4</v>
      </c>
    </row>
    <row r="293" spans="1:2" x14ac:dyDescent="0.3">
      <c r="A293" s="3" t="s">
        <v>368</v>
      </c>
      <c r="B293">
        <v>10756.4</v>
      </c>
    </row>
    <row r="294" spans="1:2" x14ac:dyDescent="0.3">
      <c r="A294" s="3" t="s">
        <v>369</v>
      </c>
      <c r="B294">
        <v>10731.7</v>
      </c>
    </row>
    <row r="295" spans="1:2" x14ac:dyDescent="0.3">
      <c r="A295" s="3" t="s">
        <v>370</v>
      </c>
      <c r="B295">
        <v>10712.8</v>
      </c>
    </row>
    <row r="296" spans="1:2" x14ac:dyDescent="0.3">
      <c r="A296" s="3" t="s">
        <v>371</v>
      </c>
      <c r="B296">
        <v>10711.2</v>
      </c>
    </row>
    <row r="297" spans="1:2" x14ac:dyDescent="0.3">
      <c r="A297" s="3" t="s">
        <v>372</v>
      </c>
      <c r="B297">
        <v>10696.6</v>
      </c>
    </row>
    <row r="298" spans="1:2" x14ac:dyDescent="0.3">
      <c r="A298" s="3" t="s">
        <v>373</v>
      </c>
      <c r="B298">
        <v>10616.1</v>
      </c>
    </row>
    <row r="299" spans="1:2" x14ac:dyDescent="0.3">
      <c r="A299" s="3" t="s">
        <v>374</v>
      </c>
      <c r="B299">
        <v>10607</v>
      </c>
    </row>
    <row r="300" spans="1:2" x14ac:dyDescent="0.3">
      <c r="A300" s="3" t="s">
        <v>375</v>
      </c>
      <c r="B300">
        <v>10571.1</v>
      </c>
    </row>
    <row r="301" spans="1:2" x14ac:dyDescent="0.3">
      <c r="A301" s="3" t="s">
        <v>376</v>
      </c>
      <c r="B301">
        <v>10489.6</v>
      </c>
    </row>
    <row r="302" spans="1:2" x14ac:dyDescent="0.3">
      <c r="A302" s="3" t="s">
        <v>377</v>
      </c>
      <c r="B302">
        <v>10476.9</v>
      </c>
    </row>
    <row r="303" spans="1:2" x14ac:dyDescent="0.3">
      <c r="A303" s="3" t="s">
        <v>378</v>
      </c>
      <c r="B303">
        <v>10449</v>
      </c>
    </row>
    <row r="304" spans="1:2" x14ac:dyDescent="0.3">
      <c r="A304" s="3" t="s">
        <v>379</v>
      </c>
      <c r="B304">
        <v>10368.700000000001</v>
      </c>
    </row>
    <row r="305" spans="1:2" x14ac:dyDescent="0.3">
      <c r="A305" s="3" t="s">
        <v>380</v>
      </c>
      <c r="B305">
        <v>10352.799999999999</v>
      </c>
    </row>
    <row r="306" spans="1:2" x14ac:dyDescent="0.3">
      <c r="A306" s="3" t="s">
        <v>381</v>
      </c>
      <c r="B306">
        <v>10332.799999999999</v>
      </c>
    </row>
    <row r="307" spans="1:2" x14ac:dyDescent="0.3">
      <c r="A307" s="3" t="s">
        <v>383</v>
      </c>
      <c r="B307">
        <v>10313.5</v>
      </c>
    </row>
    <row r="308" spans="1:2" x14ac:dyDescent="0.3">
      <c r="A308" s="3" t="s">
        <v>384</v>
      </c>
      <c r="B308">
        <v>10293</v>
      </c>
    </row>
    <row r="309" spans="1:2" x14ac:dyDescent="0.3">
      <c r="A309" s="3" t="s">
        <v>385</v>
      </c>
      <c r="B309">
        <v>10290.6</v>
      </c>
    </row>
    <row r="310" spans="1:2" x14ac:dyDescent="0.3">
      <c r="A310" s="3" t="s">
        <v>386</v>
      </c>
      <c r="B310">
        <v>10234.299999999999</v>
      </c>
    </row>
    <row r="311" spans="1:2" x14ac:dyDescent="0.3">
      <c r="A311" s="3" t="s">
        <v>388</v>
      </c>
      <c r="B311">
        <v>10231.200000000001</v>
      </c>
    </row>
    <row r="312" spans="1:2" x14ac:dyDescent="0.3">
      <c r="A312" s="3" t="s">
        <v>389</v>
      </c>
      <c r="B312">
        <v>10180.200000000001</v>
      </c>
    </row>
    <row r="313" spans="1:2" x14ac:dyDescent="0.3">
      <c r="A313" s="3" t="s">
        <v>390</v>
      </c>
      <c r="B313">
        <v>10179.299999999999</v>
      </c>
    </row>
    <row r="314" spans="1:2" x14ac:dyDescent="0.3">
      <c r="A314" s="3" t="s">
        <v>391</v>
      </c>
      <c r="B314">
        <v>10165</v>
      </c>
    </row>
    <row r="315" spans="1:2" x14ac:dyDescent="0.3">
      <c r="A315" s="3" t="s">
        <v>392</v>
      </c>
      <c r="B315">
        <v>10160.5</v>
      </c>
    </row>
    <row r="316" spans="1:2" x14ac:dyDescent="0.3">
      <c r="A316" s="3" t="s">
        <v>595</v>
      </c>
      <c r="B316">
        <v>10147.9</v>
      </c>
    </row>
    <row r="317" spans="1:2" x14ac:dyDescent="0.3">
      <c r="A317" s="3" t="s">
        <v>393</v>
      </c>
      <c r="B317">
        <v>10141.700000000001</v>
      </c>
    </row>
    <row r="318" spans="1:2" x14ac:dyDescent="0.3">
      <c r="A318" s="3" t="s">
        <v>394</v>
      </c>
      <c r="B318">
        <v>10122.5</v>
      </c>
    </row>
    <row r="319" spans="1:2" x14ac:dyDescent="0.3">
      <c r="A319" s="3" t="s">
        <v>395</v>
      </c>
      <c r="B319">
        <v>10115.700000000001</v>
      </c>
    </row>
    <row r="320" spans="1:2" x14ac:dyDescent="0.3">
      <c r="A320" s="3" t="s">
        <v>396</v>
      </c>
      <c r="B320">
        <v>10108</v>
      </c>
    </row>
    <row r="321" spans="1:2" x14ac:dyDescent="0.3">
      <c r="A321" s="3" t="s">
        <v>397</v>
      </c>
      <c r="B321">
        <v>10095.5</v>
      </c>
    </row>
    <row r="322" spans="1:2" x14ac:dyDescent="0.3">
      <c r="A322" s="3" t="s">
        <v>398</v>
      </c>
      <c r="B322">
        <v>10048.299999999999</v>
      </c>
    </row>
    <row r="323" spans="1:2" x14ac:dyDescent="0.3">
      <c r="A323" s="3" t="s">
        <v>399</v>
      </c>
      <c r="B323">
        <v>9970.2000000000007</v>
      </c>
    </row>
    <row r="324" spans="1:2" x14ac:dyDescent="0.3">
      <c r="A324" s="3" t="s">
        <v>400</v>
      </c>
      <c r="B324">
        <v>9949.6</v>
      </c>
    </row>
    <row r="325" spans="1:2" x14ac:dyDescent="0.3">
      <c r="A325" s="3" t="s">
        <v>401</v>
      </c>
      <c r="B325">
        <v>9948.7000000000007</v>
      </c>
    </row>
    <row r="326" spans="1:2" x14ac:dyDescent="0.3">
      <c r="A326" s="3" t="s">
        <v>402</v>
      </c>
      <c r="B326">
        <v>9933.4</v>
      </c>
    </row>
    <row r="327" spans="1:2" x14ac:dyDescent="0.3">
      <c r="A327" s="3" t="s">
        <v>403</v>
      </c>
      <c r="B327">
        <v>9914.5</v>
      </c>
    </row>
    <row r="328" spans="1:2" x14ac:dyDescent="0.3">
      <c r="A328" s="3" t="s">
        <v>404</v>
      </c>
      <c r="B328">
        <v>9914.4</v>
      </c>
    </row>
    <row r="329" spans="1:2" x14ac:dyDescent="0.3">
      <c r="A329" s="3" t="s">
        <v>405</v>
      </c>
      <c r="B329">
        <v>9909.5</v>
      </c>
    </row>
    <row r="330" spans="1:2" x14ac:dyDescent="0.3">
      <c r="A330" s="3" t="s">
        <v>406</v>
      </c>
      <c r="B330">
        <v>9899.4</v>
      </c>
    </row>
    <row r="331" spans="1:2" x14ac:dyDescent="0.3">
      <c r="A331" s="3" t="s">
        <v>409</v>
      </c>
      <c r="B331">
        <v>9869.2999999999993</v>
      </c>
    </row>
    <row r="332" spans="1:2" x14ac:dyDescent="0.3">
      <c r="A332" s="3" t="s">
        <v>410</v>
      </c>
      <c r="B332">
        <v>9862.6</v>
      </c>
    </row>
    <row r="333" spans="1:2" x14ac:dyDescent="0.3">
      <c r="A333" s="3" t="s">
        <v>411</v>
      </c>
      <c r="B333">
        <v>9859.6</v>
      </c>
    </row>
    <row r="334" spans="1:2" x14ac:dyDescent="0.3">
      <c r="A334" s="3" t="s">
        <v>412</v>
      </c>
      <c r="B334">
        <v>9854</v>
      </c>
    </row>
    <row r="335" spans="1:2" x14ac:dyDescent="0.3">
      <c r="A335" s="3" t="s">
        <v>413</v>
      </c>
      <c r="B335">
        <v>9797.7999999999993</v>
      </c>
    </row>
    <row r="336" spans="1:2" x14ac:dyDescent="0.3">
      <c r="A336" s="3" t="s">
        <v>414</v>
      </c>
      <c r="B336">
        <v>9734</v>
      </c>
    </row>
    <row r="337" spans="1:2" x14ac:dyDescent="0.3">
      <c r="A337" s="3" t="s">
        <v>415</v>
      </c>
      <c r="B337">
        <v>9713</v>
      </c>
    </row>
    <row r="338" spans="1:2" x14ac:dyDescent="0.3">
      <c r="A338" s="3" t="s">
        <v>416</v>
      </c>
      <c r="B338">
        <v>9666.1</v>
      </c>
    </row>
    <row r="339" spans="1:2" x14ac:dyDescent="0.3">
      <c r="A339" s="3" t="s">
        <v>417</v>
      </c>
      <c r="B339">
        <v>9609</v>
      </c>
    </row>
    <row r="340" spans="1:2" x14ac:dyDescent="0.3">
      <c r="A340" s="3" t="s">
        <v>418</v>
      </c>
      <c r="B340">
        <v>9513.7000000000007</v>
      </c>
    </row>
    <row r="341" spans="1:2" x14ac:dyDescent="0.3">
      <c r="A341" s="3" t="s">
        <v>419</v>
      </c>
      <c r="B341">
        <v>9513</v>
      </c>
    </row>
    <row r="342" spans="1:2" x14ac:dyDescent="0.3">
      <c r="A342" s="3" t="s">
        <v>420</v>
      </c>
      <c r="B342">
        <v>9503.2999999999993</v>
      </c>
    </row>
    <row r="343" spans="1:2" x14ac:dyDescent="0.3">
      <c r="A343" s="3" t="s">
        <v>421</v>
      </c>
      <c r="B343">
        <v>9495.2000000000007</v>
      </c>
    </row>
    <row r="344" spans="1:2" x14ac:dyDescent="0.3">
      <c r="A344" s="3" t="s">
        <v>422</v>
      </c>
      <c r="B344">
        <v>9439.9</v>
      </c>
    </row>
    <row r="345" spans="1:2" x14ac:dyDescent="0.3">
      <c r="A345" s="3" t="s">
        <v>423</v>
      </c>
      <c r="B345">
        <v>9437.2999999999993</v>
      </c>
    </row>
    <row r="346" spans="1:2" x14ac:dyDescent="0.3">
      <c r="A346" s="3" t="s">
        <v>424</v>
      </c>
      <c r="B346">
        <v>9401</v>
      </c>
    </row>
    <row r="347" spans="1:2" x14ac:dyDescent="0.3">
      <c r="A347" s="3" t="s">
        <v>425</v>
      </c>
      <c r="B347">
        <v>9362.2999999999993</v>
      </c>
    </row>
    <row r="348" spans="1:2" x14ac:dyDescent="0.3">
      <c r="A348" s="3" t="s">
        <v>426</v>
      </c>
      <c r="B348">
        <v>9340.1</v>
      </c>
    </row>
    <row r="349" spans="1:2" x14ac:dyDescent="0.3">
      <c r="A349" s="3" t="s">
        <v>427</v>
      </c>
      <c r="B349">
        <v>9314.7999999999993</v>
      </c>
    </row>
    <row r="350" spans="1:2" x14ac:dyDescent="0.3">
      <c r="A350" s="3" t="s">
        <v>428</v>
      </c>
      <c r="B350">
        <v>9302.9</v>
      </c>
    </row>
    <row r="351" spans="1:2" x14ac:dyDescent="0.3">
      <c r="A351" s="3" t="s">
        <v>429</v>
      </c>
      <c r="B351">
        <v>9290.9</v>
      </c>
    </row>
    <row r="352" spans="1:2" x14ac:dyDescent="0.3">
      <c r="A352" s="3" t="s">
        <v>430</v>
      </c>
      <c r="B352">
        <v>9213.5</v>
      </c>
    </row>
    <row r="353" spans="1:2" x14ac:dyDescent="0.3">
      <c r="A353" s="3" t="s">
        <v>431</v>
      </c>
      <c r="B353">
        <v>9212.4</v>
      </c>
    </row>
    <row r="354" spans="1:2" x14ac:dyDescent="0.3">
      <c r="A354" s="3" t="s">
        <v>432</v>
      </c>
      <c r="B354">
        <v>9206.7000000000007</v>
      </c>
    </row>
    <row r="355" spans="1:2" x14ac:dyDescent="0.3">
      <c r="A355" s="3" t="s">
        <v>433</v>
      </c>
      <c r="B355">
        <v>9177.5</v>
      </c>
    </row>
    <row r="356" spans="1:2" x14ac:dyDescent="0.3">
      <c r="A356" s="3" t="s">
        <v>434</v>
      </c>
      <c r="B356">
        <v>9121.6</v>
      </c>
    </row>
    <row r="357" spans="1:2" x14ac:dyDescent="0.3">
      <c r="A357" s="3" t="s">
        <v>435</v>
      </c>
      <c r="B357">
        <v>9115.7000000000007</v>
      </c>
    </row>
    <row r="358" spans="1:2" x14ac:dyDescent="0.3">
      <c r="A358" s="3" t="s">
        <v>436</v>
      </c>
      <c r="B358">
        <v>9107.5</v>
      </c>
    </row>
    <row r="359" spans="1:2" x14ac:dyDescent="0.3">
      <c r="A359" s="3" t="s">
        <v>437</v>
      </c>
      <c r="B359">
        <v>9084.9</v>
      </c>
    </row>
    <row r="360" spans="1:2" x14ac:dyDescent="0.3">
      <c r="A360" s="3" t="s">
        <v>438</v>
      </c>
      <c r="B360">
        <v>9076.4</v>
      </c>
    </row>
    <row r="361" spans="1:2" x14ac:dyDescent="0.3">
      <c r="A361" s="3" t="s">
        <v>439</v>
      </c>
      <c r="B361">
        <v>9056.5</v>
      </c>
    </row>
    <row r="362" spans="1:2" x14ac:dyDescent="0.3">
      <c r="A362" s="3" t="s">
        <v>441</v>
      </c>
      <c r="B362">
        <v>8988.2000000000007</v>
      </c>
    </row>
    <row r="363" spans="1:2" x14ac:dyDescent="0.3">
      <c r="A363" s="3" t="s">
        <v>442</v>
      </c>
      <c r="B363">
        <v>8965</v>
      </c>
    </row>
    <row r="364" spans="1:2" x14ac:dyDescent="0.3">
      <c r="A364" s="3" t="s">
        <v>443</v>
      </c>
      <c r="B364">
        <v>8960.1</v>
      </c>
    </row>
    <row r="365" spans="1:2" x14ac:dyDescent="0.3">
      <c r="A365" s="3" t="s">
        <v>444</v>
      </c>
      <c r="B365">
        <v>8927.6</v>
      </c>
    </row>
    <row r="366" spans="1:2" x14ac:dyDescent="0.3">
      <c r="A366" s="3" t="s">
        <v>445</v>
      </c>
      <c r="B366">
        <v>8916</v>
      </c>
    </row>
    <row r="367" spans="1:2" x14ac:dyDescent="0.3">
      <c r="A367" s="3" t="s">
        <v>446</v>
      </c>
      <c r="B367">
        <v>8909.9</v>
      </c>
    </row>
    <row r="368" spans="1:2" x14ac:dyDescent="0.3">
      <c r="A368" s="3" t="s">
        <v>447</v>
      </c>
      <c r="B368">
        <v>8906.9</v>
      </c>
    </row>
    <row r="369" spans="1:2" x14ac:dyDescent="0.3">
      <c r="A369" s="3" t="s">
        <v>448</v>
      </c>
      <c r="B369">
        <v>8899.6</v>
      </c>
    </row>
    <row r="370" spans="1:2" x14ac:dyDescent="0.3">
      <c r="A370" s="3" t="s">
        <v>449</v>
      </c>
      <c r="B370">
        <v>8848.2999999999993</v>
      </c>
    </row>
    <row r="371" spans="1:2" x14ac:dyDescent="0.3">
      <c r="A371" s="3" t="s">
        <v>450</v>
      </c>
      <c r="B371">
        <v>8831</v>
      </c>
    </row>
    <row r="372" spans="1:2" x14ac:dyDescent="0.3">
      <c r="A372" s="3" t="s">
        <v>451</v>
      </c>
      <c r="B372">
        <v>8828.7999999999993</v>
      </c>
    </row>
    <row r="373" spans="1:2" x14ac:dyDescent="0.3">
      <c r="A373" s="3" t="s">
        <v>452</v>
      </c>
      <c r="B373">
        <v>8809.4</v>
      </c>
    </row>
    <row r="374" spans="1:2" x14ac:dyDescent="0.3">
      <c r="A374" s="3" t="s">
        <v>453</v>
      </c>
      <c r="B374">
        <v>8801.6</v>
      </c>
    </row>
    <row r="375" spans="1:2" x14ac:dyDescent="0.3">
      <c r="A375" s="3" t="s">
        <v>454</v>
      </c>
      <c r="B375">
        <v>8780.4</v>
      </c>
    </row>
    <row r="376" spans="1:2" x14ac:dyDescent="0.3">
      <c r="A376" s="3" t="s">
        <v>456</v>
      </c>
      <c r="B376">
        <v>8779.9</v>
      </c>
    </row>
    <row r="377" spans="1:2" x14ac:dyDescent="0.3">
      <c r="A377" s="3" t="s">
        <v>457</v>
      </c>
      <c r="B377">
        <v>8733</v>
      </c>
    </row>
    <row r="378" spans="1:2" x14ac:dyDescent="0.3">
      <c r="A378" s="3" t="s">
        <v>458</v>
      </c>
      <c r="B378">
        <v>8715.2000000000007</v>
      </c>
    </row>
    <row r="379" spans="1:2" x14ac:dyDescent="0.3">
      <c r="A379" s="3" t="s">
        <v>459</v>
      </c>
      <c r="B379">
        <v>8706.4</v>
      </c>
    </row>
    <row r="380" spans="1:2" x14ac:dyDescent="0.3">
      <c r="A380" s="3" t="s">
        <v>460</v>
      </c>
      <c r="B380">
        <v>8699.2000000000007</v>
      </c>
    </row>
    <row r="381" spans="1:2" x14ac:dyDescent="0.3">
      <c r="A381" s="3" t="s">
        <v>462</v>
      </c>
      <c r="B381">
        <v>8647.7999999999993</v>
      </c>
    </row>
    <row r="382" spans="1:2" x14ac:dyDescent="0.3">
      <c r="A382" s="3" t="s">
        <v>463</v>
      </c>
      <c r="B382">
        <v>8622.1</v>
      </c>
    </row>
    <row r="383" spans="1:2" x14ac:dyDescent="0.3">
      <c r="A383" s="3" t="s">
        <v>464</v>
      </c>
      <c r="B383">
        <v>8617.1</v>
      </c>
    </row>
    <row r="384" spans="1:2" x14ac:dyDescent="0.3">
      <c r="A384" s="3" t="s">
        <v>465</v>
      </c>
      <c r="B384">
        <v>8591.1</v>
      </c>
    </row>
    <row r="385" spans="1:2" x14ac:dyDescent="0.3">
      <c r="A385" s="3" t="s">
        <v>466</v>
      </c>
      <c r="B385">
        <v>8584.2000000000007</v>
      </c>
    </row>
    <row r="386" spans="1:2" x14ac:dyDescent="0.3">
      <c r="A386" s="3" t="s">
        <v>467</v>
      </c>
      <c r="B386">
        <v>8564.5</v>
      </c>
    </row>
    <row r="387" spans="1:2" x14ac:dyDescent="0.3">
      <c r="A387" s="3" t="s">
        <v>468</v>
      </c>
      <c r="B387">
        <v>8564.4</v>
      </c>
    </row>
    <row r="388" spans="1:2" x14ac:dyDescent="0.3">
      <c r="A388" s="3" t="s">
        <v>469</v>
      </c>
      <c r="B388">
        <v>8551.4</v>
      </c>
    </row>
    <row r="389" spans="1:2" x14ac:dyDescent="0.3">
      <c r="A389" s="3" t="s">
        <v>470</v>
      </c>
      <c r="B389">
        <v>8531.2999999999993</v>
      </c>
    </row>
    <row r="390" spans="1:2" x14ac:dyDescent="0.3">
      <c r="A390" s="3" t="s">
        <v>471</v>
      </c>
      <c r="B390">
        <v>8509.5</v>
      </c>
    </row>
    <row r="391" spans="1:2" x14ac:dyDescent="0.3">
      <c r="A391" s="3" t="s">
        <v>472</v>
      </c>
      <c r="B391">
        <v>8507.9</v>
      </c>
    </row>
    <row r="392" spans="1:2" x14ac:dyDescent="0.3">
      <c r="A392" s="3" t="s">
        <v>473</v>
      </c>
      <c r="B392">
        <v>8485.9</v>
      </c>
    </row>
    <row r="393" spans="1:2" x14ac:dyDescent="0.3">
      <c r="A393" s="3" t="s">
        <v>474</v>
      </c>
      <c r="B393">
        <v>8472.9</v>
      </c>
    </row>
    <row r="394" spans="1:2" x14ac:dyDescent="0.3">
      <c r="A394" s="3" t="s">
        <v>475</v>
      </c>
      <c r="B394">
        <v>8457.4</v>
      </c>
    </row>
    <row r="395" spans="1:2" x14ac:dyDescent="0.3">
      <c r="A395" s="3" t="s">
        <v>476</v>
      </c>
      <c r="B395">
        <v>8453.7000000000007</v>
      </c>
    </row>
    <row r="396" spans="1:2" x14ac:dyDescent="0.3">
      <c r="A396" s="3" t="s">
        <v>477</v>
      </c>
      <c r="B396">
        <v>8439.5</v>
      </c>
    </row>
    <row r="397" spans="1:2" x14ac:dyDescent="0.3">
      <c r="A397" s="3" t="s">
        <v>479</v>
      </c>
      <c r="B397">
        <v>8433.7999999999993</v>
      </c>
    </row>
    <row r="398" spans="1:2" x14ac:dyDescent="0.3">
      <c r="A398" s="3" t="s">
        <v>480</v>
      </c>
      <c r="B398">
        <v>8382.9</v>
      </c>
    </row>
    <row r="399" spans="1:2" x14ac:dyDescent="0.3">
      <c r="A399" s="3" t="s">
        <v>481</v>
      </c>
      <c r="B399">
        <v>8371.5</v>
      </c>
    </row>
    <row r="400" spans="1:2" x14ac:dyDescent="0.3">
      <c r="A400" s="3" t="s">
        <v>482</v>
      </c>
      <c r="B400">
        <v>8370.9</v>
      </c>
    </row>
    <row r="401" spans="1:2" x14ac:dyDescent="0.3">
      <c r="A401" s="3" t="s">
        <v>483</v>
      </c>
      <c r="B401">
        <v>8366.2999999999993</v>
      </c>
    </row>
    <row r="402" spans="1:2" x14ac:dyDescent="0.3">
      <c r="A402" s="3" t="s">
        <v>484</v>
      </c>
      <c r="B402">
        <v>8339.2999999999993</v>
      </c>
    </row>
    <row r="403" spans="1:2" x14ac:dyDescent="0.3">
      <c r="A403" s="3" t="s">
        <v>485</v>
      </c>
      <c r="B403">
        <v>8330.4</v>
      </c>
    </row>
    <row r="404" spans="1:2" x14ac:dyDescent="0.3">
      <c r="A404" s="3" t="s">
        <v>486</v>
      </c>
      <c r="B404">
        <v>8326.7000000000007</v>
      </c>
    </row>
    <row r="405" spans="1:2" x14ac:dyDescent="0.3">
      <c r="A405" s="3" t="s">
        <v>487</v>
      </c>
      <c r="B405">
        <v>8316.5</v>
      </c>
    </row>
    <row r="406" spans="1:2" x14ac:dyDescent="0.3">
      <c r="A406" s="3" t="s">
        <v>489</v>
      </c>
      <c r="B406">
        <v>8309.1</v>
      </c>
    </row>
    <row r="407" spans="1:2" x14ac:dyDescent="0.3">
      <c r="A407" s="3" t="s">
        <v>490</v>
      </c>
      <c r="B407">
        <v>8282.2999999999993</v>
      </c>
    </row>
    <row r="408" spans="1:2" x14ac:dyDescent="0.3">
      <c r="A408" s="3" t="s">
        <v>491</v>
      </c>
      <c r="B408">
        <v>8278.7000000000007</v>
      </c>
    </row>
    <row r="409" spans="1:2" x14ac:dyDescent="0.3">
      <c r="A409" s="3" t="s">
        <v>492</v>
      </c>
      <c r="B409">
        <v>8263</v>
      </c>
    </row>
    <row r="410" spans="1:2" x14ac:dyDescent="0.3">
      <c r="A410" s="3" t="s">
        <v>493</v>
      </c>
      <c r="B410">
        <v>8240.2000000000007</v>
      </c>
    </row>
    <row r="411" spans="1:2" x14ac:dyDescent="0.3">
      <c r="A411" s="3" t="s">
        <v>494</v>
      </c>
      <c r="B411">
        <v>8235.9</v>
      </c>
    </row>
    <row r="412" spans="1:2" x14ac:dyDescent="0.3">
      <c r="A412" s="3" t="s">
        <v>495</v>
      </c>
      <c r="B412">
        <v>8216.5</v>
      </c>
    </row>
    <row r="413" spans="1:2" x14ac:dyDescent="0.3">
      <c r="A413" s="3" t="s">
        <v>496</v>
      </c>
      <c r="B413">
        <v>8205.4</v>
      </c>
    </row>
    <row r="414" spans="1:2" x14ac:dyDescent="0.3">
      <c r="A414" s="3" t="s">
        <v>497</v>
      </c>
      <c r="B414">
        <v>8203</v>
      </c>
    </row>
    <row r="415" spans="1:2" x14ac:dyDescent="0.3">
      <c r="A415" s="3" t="s">
        <v>498</v>
      </c>
      <c r="B415">
        <v>8200.1</v>
      </c>
    </row>
    <row r="416" spans="1:2" x14ac:dyDescent="0.3">
      <c r="A416" s="3" t="s">
        <v>499</v>
      </c>
      <c r="B416">
        <v>8197.2000000000007</v>
      </c>
    </row>
    <row r="417" spans="1:2" x14ac:dyDescent="0.3">
      <c r="A417" s="3" t="s">
        <v>500</v>
      </c>
      <c r="B417">
        <v>8186.9</v>
      </c>
    </row>
    <row r="418" spans="1:2" x14ac:dyDescent="0.3">
      <c r="A418" s="3" t="s">
        <v>502</v>
      </c>
      <c r="B418">
        <v>8164.9</v>
      </c>
    </row>
    <row r="419" spans="1:2" x14ac:dyDescent="0.3">
      <c r="A419" s="3" t="s">
        <v>503</v>
      </c>
      <c r="B419">
        <v>8148</v>
      </c>
    </row>
    <row r="420" spans="1:2" x14ac:dyDescent="0.3">
      <c r="A420" s="3" t="s">
        <v>504</v>
      </c>
      <c r="B420">
        <v>8092.2</v>
      </c>
    </row>
    <row r="421" spans="1:2" x14ac:dyDescent="0.3">
      <c r="A421" s="3" t="s">
        <v>505</v>
      </c>
      <c r="B421">
        <v>8065.4</v>
      </c>
    </row>
    <row r="422" spans="1:2" x14ac:dyDescent="0.3">
      <c r="A422" s="3" t="s">
        <v>506</v>
      </c>
      <c r="B422">
        <v>8063.4</v>
      </c>
    </row>
    <row r="423" spans="1:2" x14ac:dyDescent="0.3">
      <c r="A423" s="3" t="s">
        <v>507</v>
      </c>
      <c r="B423">
        <v>8056.8</v>
      </c>
    </row>
    <row r="424" spans="1:2" x14ac:dyDescent="0.3">
      <c r="A424" s="3" t="s">
        <v>508</v>
      </c>
      <c r="B424">
        <v>8043.6</v>
      </c>
    </row>
    <row r="425" spans="1:2" x14ac:dyDescent="0.3">
      <c r="A425" s="3" t="s">
        <v>509</v>
      </c>
      <c r="B425">
        <v>8030.3</v>
      </c>
    </row>
    <row r="426" spans="1:2" x14ac:dyDescent="0.3">
      <c r="A426" s="3" t="s">
        <v>510</v>
      </c>
      <c r="B426">
        <v>8019.9</v>
      </c>
    </row>
    <row r="427" spans="1:2" x14ac:dyDescent="0.3">
      <c r="A427" s="3" t="s">
        <v>511</v>
      </c>
      <c r="B427">
        <v>8014.7</v>
      </c>
    </row>
    <row r="428" spans="1:2" x14ac:dyDescent="0.3">
      <c r="A428" s="3" t="s">
        <v>512</v>
      </c>
      <c r="B428">
        <v>7987.3</v>
      </c>
    </row>
    <row r="429" spans="1:2" x14ac:dyDescent="0.3">
      <c r="A429" s="3" t="s">
        <v>513</v>
      </c>
      <c r="B429">
        <v>7976.6</v>
      </c>
    </row>
    <row r="430" spans="1:2" x14ac:dyDescent="0.3">
      <c r="A430" s="3" t="s">
        <v>514</v>
      </c>
      <c r="B430">
        <v>7940.4</v>
      </c>
    </row>
    <row r="431" spans="1:2" x14ac:dyDescent="0.3">
      <c r="A431" s="3" t="s">
        <v>515</v>
      </c>
      <c r="B431">
        <v>7934.8</v>
      </c>
    </row>
    <row r="432" spans="1:2" x14ac:dyDescent="0.3">
      <c r="A432" s="3" t="s">
        <v>516</v>
      </c>
      <c r="B432">
        <v>7934.5</v>
      </c>
    </row>
    <row r="433" spans="1:2" x14ac:dyDescent="0.3">
      <c r="A433" s="3" t="s">
        <v>519</v>
      </c>
      <c r="B433">
        <v>7921.6</v>
      </c>
    </row>
    <row r="434" spans="1:2" x14ac:dyDescent="0.3">
      <c r="A434" s="3" t="s">
        <v>520</v>
      </c>
      <c r="B434">
        <v>7892.9</v>
      </c>
    </row>
    <row r="435" spans="1:2" x14ac:dyDescent="0.3">
      <c r="A435" s="3" t="s">
        <v>521</v>
      </c>
      <c r="B435">
        <v>7891.3</v>
      </c>
    </row>
    <row r="436" spans="1:2" x14ac:dyDescent="0.3">
      <c r="A436" s="3" t="s">
        <v>522</v>
      </c>
      <c r="B436">
        <v>7886.9</v>
      </c>
    </row>
    <row r="437" spans="1:2" x14ac:dyDescent="0.3">
      <c r="A437" s="3" t="s">
        <v>523</v>
      </c>
      <c r="B437">
        <v>7871.9</v>
      </c>
    </row>
    <row r="438" spans="1:2" x14ac:dyDescent="0.3">
      <c r="A438" s="3" t="s">
        <v>524</v>
      </c>
      <c r="B438">
        <v>7852.2</v>
      </c>
    </row>
    <row r="439" spans="1:2" x14ac:dyDescent="0.3">
      <c r="A439" s="3" t="s">
        <v>526</v>
      </c>
      <c r="B439">
        <v>7838.9</v>
      </c>
    </row>
    <row r="440" spans="1:2" x14ac:dyDescent="0.3">
      <c r="A440" s="3" t="s">
        <v>527</v>
      </c>
      <c r="B440">
        <v>7824.1</v>
      </c>
    </row>
    <row r="441" spans="1:2" x14ac:dyDescent="0.3">
      <c r="A441" s="3" t="s">
        <v>528</v>
      </c>
      <c r="B441">
        <v>7817.3</v>
      </c>
    </row>
    <row r="442" spans="1:2" x14ac:dyDescent="0.3">
      <c r="A442" s="3" t="s">
        <v>529</v>
      </c>
      <c r="B442">
        <v>7810.5</v>
      </c>
    </row>
    <row r="443" spans="1:2" x14ac:dyDescent="0.3">
      <c r="A443" s="3" t="s">
        <v>530</v>
      </c>
      <c r="B443">
        <v>7787.8</v>
      </c>
    </row>
    <row r="444" spans="1:2" x14ac:dyDescent="0.3">
      <c r="A444" s="3" t="s">
        <v>531</v>
      </c>
      <c r="B444">
        <v>7785.3</v>
      </c>
    </row>
    <row r="445" spans="1:2" x14ac:dyDescent="0.3">
      <c r="A445" s="3" t="s">
        <v>532</v>
      </c>
      <c r="B445">
        <v>7765.7</v>
      </c>
    </row>
    <row r="446" spans="1:2" x14ac:dyDescent="0.3">
      <c r="A446" s="3" t="s">
        <v>533</v>
      </c>
      <c r="B446">
        <v>7738.2</v>
      </c>
    </row>
    <row r="447" spans="1:2" x14ac:dyDescent="0.3">
      <c r="A447" s="3" t="s">
        <v>535</v>
      </c>
      <c r="B447">
        <v>7729.6</v>
      </c>
    </row>
    <row r="448" spans="1:2" x14ac:dyDescent="0.3">
      <c r="A448" s="3" t="s">
        <v>536</v>
      </c>
      <c r="B448">
        <v>7713.9</v>
      </c>
    </row>
    <row r="449" spans="1:2" x14ac:dyDescent="0.3">
      <c r="A449" s="3" t="s">
        <v>537</v>
      </c>
      <c r="B449">
        <v>7689.5</v>
      </c>
    </row>
    <row r="450" spans="1:2" x14ac:dyDescent="0.3">
      <c r="A450" s="3" t="s">
        <v>538</v>
      </c>
      <c r="B450">
        <v>7673.1</v>
      </c>
    </row>
    <row r="451" spans="1:2" x14ac:dyDescent="0.3">
      <c r="A451" s="3" t="s">
        <v>539</v>
      </c>
      <c r="B451">
        <v>7661.6</v>
      </c>
    </row>
    <row r="452" spans="1:2" x14ac:dyDescent="0.3">
      <c r="A452" s="3" t="s">
        <v>540</v>
      </c>
      <c r="B452">
        <v>7645.2</v>
      </c>
    </row>
    <row r="453" spans="1:2" x14ac:dyDescent="0.3">
      <c r="A453" s="3" t="s">
        <v>541</v>
      </c>
      <c r="B453">
        <v>7628.1</v>
      </c>
    </row>
    <row r="454" spans="1:2" x14ac:dyDescent="0.3">
      <c r="A454" s="3" t="s">
        <v>542</v>
      </c>
      <c r="B454">
        <v>7618.8</v>
      </c>
    </row>
    <row r="455" spans="1:2" x14ac:dyDescent="0.3">
      <c r="A455" s="3" t="s">
        <v>543</v>
      </c>
      <c r="B455">
        <v>7612.3</v>
      </c>
    </row>
    <row r="456" spans="1:2" x14ac:dyDescent="0.3">
      <c r="A456" s="3" t="s">
        <v>544</v>
      </c>
      <c r="B456">
        <v>7608.2</v>
      </c>
    </row>
    <row r="457" spans="1:2" x14ac:dyDescent="0.3">
      <c r="A457" s="3" t="s">
        <v>545</v>
      </c>
      <c r="B457">
        <v>7596.7</v>
      </c>
    </row>
    <row r="458" spans="1:2" x14ac:dyDescent="0.3">
      <c r="A458" s="3" t="s">
        <v>546</v>
      </c>
      <c r="B458">
        <v>7589.1</v>
      </c>
    </row>
    <row r="459" spans="1:2" x14ac:dyDescent="0.3">
      <c r="A459" s="3" t="s">
        <v>547</v>
      </c>
      <c r="B459">
        <v>7552.8</v>
      </c>
    </row>
    <row r="460" spans="1:2" x14ac:dyDescent="0.3">
      <c r="A460" s="3" t="s">
        <v>549</v>
      </c>
      <c r="B460">
        <v>7550.3</v>
      </c>
    </row>
    <row r="461" spans="1:2" x14ac:dyDescent="0.3">
      <c r="A461" s="3" t="s">
        <v>551</v>
      </c>
      <c r="B461">
        <v>7543.1</v>
      </c>
    </row>
    <row r="462" spans="1:2" x14ac:dyDescent="0.3">
      <c r="A462" s="3" t="s">
        <v>552</v>
      </c>
      <c r="B462">
        <v>7503.2</v>
      </c>
    </row>
    <row r="463" spans="1:2" x14ac:dyDescent="0.3">
      <c r="A463" s="3" t="s">
        <v>553</v>
      </c>
      <c r="B463">
        <v>7486.2</v>
      </c>
    </row>
    <row r="464" spans="1:2" x14ac:dyDescent="0.3">
      <c r="A464" s="3" t="s">
        <v>554</v>
      </c>
      <c r="B464">
        <v>7485.1</v>
      </c>
    </row>
    <row r="465" spans="1:2" x14ac:dyDescent="0.3">
      <c r="A465" s="3" t="s">
        <v>555</v>
      </c>
      <c r="B465">
        <v>7467.3</v>
      </c>
    </row>
    <row r="466" spans="1:2" x14ac:dyDescent="0.3">
      <c r="A466" s="3" t="s">
        <v>556</v>
      </c>
      <c r="B466">
        <v>7453.2</v>
      </c>
    </row>
    <row r="467" spans="1:2" x14ac:dyDescent="0.3">
      <c r="A467" s="3" t="s">
        <v>557</v>
      </c>
      <c r="B467">
        <v>7450.6</v>
      </c>
    </row>
    <row r="468" spans="1:2" x14ac:dyDescent="0.3">
      <c r="A468" s="3" t="s">
        <v>558</v>
      </c>
      <c r="B468">
        <v>7431.9</v>
      </c>
    </row>
    <row r="469" spans="1:2" x14ac:dyDescent="0.3">
      <c r="A469" s="3" t="s">
        <v>559</v>
      </c>
      <c r="B469">
        <v>7423.5</v>
      </c>
    </row>
    <row r="470" spans="1:2" x14ac:dyDescent="0.3">
      <c r="A470" s="3" t="s">
        <v>560</v>
      </c>
      <c r="B470">
        <v>7416.8</v>
      </c>
    </row>
    <row r="471" spans="1:2" x14ac:dyDescent="0.3">
      <c r="A471" s="3" t="s">
        <v>561</v>
      </c>
      <c r="B471">
        <v>7405.6</v>
      </c>
    </row>
    <row r="472" spans="1:2" x14ac:dyDescent="0.3">
      <c r="A472" s="3" t="s">
        <v>562</v>
      </c>
      <c r="B472">
        <v>7388.4</v>
      </c>
    </row>
    <row r="473" spans="1:2" x14ac:dyDescent="0.3">
      <c r="A473" s="3" t="s">
        <v>563</v>
      </c>
      <c r="B473">
        <v>7387.8</v>
      </c>
    </row>
    <row r="474" spans="1:2" x14ac:dyDescent="0.3">
      <c r="A474" s="3" t="s">
        <v>564</v>
      </c>
      <c r="B474">
        <v>7377.9</v>
      </c>
    </row>
    <row r="475" spans="1:2" x14ac:dyDescent="0.3">
      <c r="A475" s="3" t="s">
        <v>565</v>
      </c>
      <c r="B475">
        <v>7352.6</v>
      </c>
    </row>
    <row r="476" spans="1:2" x14ac:dyDescent="0.3">
      <c r="A476" s="3" t="s">
        <v>566</v>
      </c>
      <c r="B476">
        <v>7347.9</v>
      </c>
    </row>
    <row r="477" spans="1:2" x14ac:dyDescent="0.3">
      <c r="A477" s="3" t="s">
        <v>567</v>
      </c>
      <c r="B477">
        <v>7337.5</v>
      </c>
    </row>
    <row r="478" spans="1:2" x14ac:dyDescent="0.3">
      <c r="A478" s="3" t="s">
        <v>568</v>
      </c>
      <c r="B478">
        <v>7335.2</v>
      </c>
    </row>
    <row r="479" spans="1:2" x14ac:dyDescent="0.3">
      <c r="A479" s="3" t="s">
        <v>570</v>
      </c>
      <c r="B479">
        <v>7326.6</v>
      </c>
    </row>
    <row r="480" spans="1:2" x14ac:dyDescent="0.3">
      <c r="A480" s="3" t="s">
        <v>571</v>
      </c>
      <c r="B480">
        <v>7313.2</v>
      </c>
    </row>
    <row r="481" spans="1:2" x14ac:dyDescent="0.3">
      <c r="A481" s="3" t="s">
        <v>572</v>
      </c>
      <c r="B481">
        <v>7286.8</v>
      </c>
    </row>
    <row r="482" spans="1:2" x14ac:dyDescent="0.3">
      <c r="A482" s="3" t="s">
        <v>574</v>
      </c>
      <c r="B482">
        <v>7277.6</v>
      </c>
    </row>
    <row r="483" spans="1:2" x14ac:dyDescent="0.3">
      <c r="A483" s="3" t="s">
        <v>575</v>
      </c>
      <c r="B483">
        <v>7256.2</v>
      </c>
    </row>
    <row r="484" spans="1:2" x14ac:dyDescent="0.3">
      <c r="A484" s="3" t="s">
        <v>576</v>
      </c>
      <c r="B484">
        <v>7252.1</v>
      </c>
    </row>
    <row r="485" spans="1:2" x14ac:dyDescent="0.3">
      <c r="A485" s="3" t="s">
        <v>577</v>
      </c>
      <c r="B485">
        <v>7239.7</v>
      </c>
    </row>
    <row r="486" spans="1:2" x14ac:dyDescent="0.3">
      <c r="A486" s="3" t="s">
        <v>578</v>
      </c>
      <c r="B486">
        <v>7237.6</v>
      </c>
    </row>
    <row r="487" spans="1:2" x14ac:dyDescent="0.3">
      <c r="A487" s="3" t="s">
        <v>579</v>
      </c>
      <c r="B487">
        <v>7209.6</v>
      </c>
    </row>
    <row r="488" spans="1:2" x14ac:dyDescent="0.3">
      <c r="A488" s="3" t="s">
        <v>580</v>
      </c>
      <c r="B488">
        <v>7192.6</v>
      </c>
    </row>
    <row r="489" spans="1:2" x14ac:dyDescent="0.3">
      <c r="A489" s="3" t="s">
        <v>581</v>
      </c>
      <c r="B489">
        <v>7182.1</v>
      </c>
    </row>
    <row r="490" spans="1:2" x14ac:dyDescent="0.3">
      <c r="A490" s="3" t="s">
        <v>582</v>
      </c>
      <c r="B490">
        <v>7123.4</v>
      </c>
    </row>
    <row r="491" spans="1:2" x14ac:dyDescent="0.3">
      <c r="A491" s="3" t="s">
        <v>583</v>
      </c>
      <c r="B491">
        <v>7114.1</v>
      </c>
    </row>
    <row r="492" spans="1:2" x14ac:dyDescent="0.3">
      <c r="A492" s="3" t="s">
        <v>584</v>
      </c>
      <c r="B492">
        <v>7073.7</v>
      </c>
    </row>
    <row r="493" spans="1:2" x14ac:dyDescent="0.3">
      <c r="A493" s="3" t="s">
        <v>585</v>
      </c>
      <c r="B493">
        <v>7061.3</v>
      </c>
    </row>
    <row r="494" spans="1:2" x14ac:dyDescent="0.3">
      <c r="A494" s="3" t="s">
        <v>586</v>
      </c>
      <c r="B494">
        <v>7059.2</v>
      </c>
    </row>
    <row r="495" spans="1:2" x14ac:dyDescent="0.3">
      <c r="A495" s="3" t="s">
        <v>587</v>
      </c>
      <c r="B495">
        <v>7059.2</v>
      </c>
    </row>
    <row r="496" spans="1:2" x14ac:dyDescent="0.3">
      <c r="A496" s="3" t="s">
        <v>588</v>
      </c>
      <c r="B496">
        <v>7048.5</v>
      </c>
    </row>
    <row r="497" spans="1:2" x14ac:dyDescent="0.3">
      <c r="A497" s="3" t="s">
        <v>589</v>
      </c>
      <c r="B497">
        <v>7034.1</v>
      </c>
    </row>
    <row r="498" spans="1:2" x14ac:dyDescent="0.3">
      <c r="A498" s="3" t="s">
        <v>590</v>
      </c>
      <c r="B498">
        <v>7029.1</v>
      </c>
    </row>
    <row r="499" spans="1:2" x14ac:dyDescent="0.3">
      <c r="A499" s="3" t="s">
        <v>591</v>
      </c>
      <c r="B499">
        <v>7018.9</v>
      </c>
    </row>
    <row r="500" spans="1:2" x14ac:dyDescent="0.3">
      <c r="A500" s="3" t="s">
        <v>593</v>
      </c>
      <c r="B500">
        <v>6976.4</v>
      </c>
    </row>
    <row r="501" spans="1:2" x14ac:dyDescent="0.3">
      <c r="A501" s="3" t="s">
        <v>594</v>
      </c>
      <c r="B501">
        <v>6972</v>
      </c>
    </row>
    <row r="502" spans="1:2" x14ac:dyDescent="0.3">
      <c r="A502" s="3" t="s">
        <v>600</v>
      </c>
      <c r="B502">
        <v>137492.1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3159D-11C0-438C-927F-08A281424D0E}">
  <dimension ref="A1:D25"/>
  <sheetViews>
    <sheetView workbookViewId="0">
      <selection activeCell="D3" sqref="D3"/>
    </sheetView>
  </sheetViews>
  <sheetFormatPr defaultRowHeight="14.4" x14ac:dyDescent="0.3"/>
  <cols>
    <col min="1" max="1" width="15" bestFit="1" customWidth="1"/>
    <col min="2" max="2" width="29.21875" bestFit="1" customWidth="1"/>
  </cols>
  <sheetData>
    <row r="1" spans="1:4" x14ac:dyDescent="0.3">
      <c r="A1" s="2" t="s">
        <v>603</v>
      </c>
      <c r="B1" t="s">
        <v>596</v>
      </c>
    </row>
    <row r="2" spans="1:4" x14ac:dyDescent="0.3">
      <c r="A2" s="3" t="s">
        <v>350</v>
      </c>
      <c r="B2">
        <v>21439.599999999999</v>
      </c>
      <c r="D2">
        <f>B2</f>
        <v>21439.599999999999</v>
      </c>
    </row>
    <row r="3" spans="1:4" x14ac:dyDescent="0.3">
      <c r="A3" s="3" t="s">
        <v>58</v>
      </c>
      <c r="B3">
        <v>148227.29999999999</v>
      </c>
    </row>
    <row r="4" spans="1:4" x14ac:dyDescent="0.3">
      <c r="A4" s="3" t="s">
        <v>152</v>
      </c>
      <c r="B4">
        <v>40651.4</v>
      </c>
    </row>
    <row r="5" spans="1:4" x14ac:dyDescent="0.3">
      <c r="A5" s="3" t="s">
        <v>488</v>
      </c>
      <c r="B5">
        <v>8316.5</v>
      </c>
    </row>
    <row r="6" spans="1:4" x14ac:dyDescent="0.3">
      <c r="A6" s="3" t="s">
        <v>99</v>
      </c>
      <c r="B6">
        <v>130286.2</v>
      </c>
    </row>
    <row r="7" spans="1:4" x14ac:dyDescent="0.3">
      <c r="A7" s="3" t="s">
        <v>61</v>
      </c>
      <c r="B7">
        <v>367096.9</v>
      </c>
    </row>
    <row r="8" spans="1:4" x14ac:dyDescent="0.3">
      <c r="A8" s="3" t="s">
        <v>74</v>
      </c>
      <c r="B8">
        <v>151357.9</v>
      </c>
    </row>
    <row r="9" spans="1:4" x14ac:dyDescent="0.3">
      <c r="A9" s="3" t="s">
        <v>273</v>
      </c>
      <c r="B9">
        <v>39366.800000000003</v>
      </c>
    </row>
    <row r="10" spans="1:4" x14ac:dyDescent="0.3">
      <c r="A10" s="3" t="s">
        <v>18</v>
      </c>
      <c r="B10">
        <v>2126055.100000001</v>
      </c>
    </row>
    <row r="11" spans="1:4" x14ac:dyDescent="0.3">
      <c r="A11" s="3" t="s">
        <v>48</v>
      </c>
      <c r="B11">
        <v>157338.70000000001</v>
      </c>
    </row>
    <row r="12" spans="1:4" x14ac:dyDescent="0.3">
      <c r="A12" s="3" t="s">
        <v>83</v>
      </c>
      <c r="B12">
        <v>377962</v>
      </c>
    </row>
    <row r="13" spans="1:4" x14ac:dyDescent="0.3">
      <c r="A13" s="3" t="s">
        <v>292</v>
      </c>
      <c r="B13">
        <v>73598.899999999994</v>
      </c>
    </row>
    <row r="14" spans="1:4" x14ac:dyDescent="0.3">
      <c r="A14" s="3" t="s">
        <v>592</v>
      </c>
      <c r="B14">
        <v>7018.9</v>
      </c>
    </row>
    <row r="15" spans="1:4" x14ac:dyDescent="0.3">
      <c r="A15" s="3" t="s">
        <v>23</v>
      </c>
      <c r="B15">
        <v>2003601.8</v>
      </c>
    </row>
    <row r="16" spans="1:4" x14ac:dyDescent="0.3">
      <c r="A16" s="3" t="s">
        <v>28</v>
      </c>
      <c r="B16">
        <v>570698.4</v>
      </c>
    </row>
    <row r="17" spans="1:2" x14ac:dyDescent="0.3">
      <c r="A17" s="3" t="s">
        <v>185</v>
      </c>
      <c r="B17">
        <v>33196</v>
      </c>
    </row>
    <row r="18" spans="1:2" x14ac:dyDescent="0.3">
      <c r="A18" s="3" t="s">
        <v>26</v>
      </c>
      <c r="B18">
        <v>888855.09999999974</v>
      </c>
    </row>
    <row r="19" spans="1:2" x14ac:dyDescent="0.3">
      <c r="A19" s="3" t="s">
        <v>91</v>
      </c>
      <c r="B19">
        <v>256013.49999999997</v>
      </c>
    </row>
    <row r="20" spans="1:2" x14ac:dyDescent="0.3">
      <c r="A20" s="3" t="s">
        <v>52</v>
      </c>
      <c r="B20">
        <v>812082.6</v>
      </c>
    </row>
    <row r="21" spans="1:2" x14ac:dyDescent="0.3">
      <c r="A21" s="3" t="s">
        <v>169</v>
      </c>
      <c r="B21">
        <v>104798.40000000001</v>
      </c>
    </row>
    <row r="22" spans="1:2" x14ac:dyDescent="0.3">
      <c r="A22" s="3" t="s">
        <v>455</v>
      </c>
      <c r="B22">
        <v>25044.800000000003</v>
      </c>
    </row>
    <row r="23" spans="1:2" x14ac:dyDescent="0.3">
      <c r="A23" s="3" t="s">
        <v>140</v>
      </c>
      <c r="B23">
        <v>41191.299999999996</v>
      </c>
    </row>
    <row r="24" spans="1:2" x14ac:dyDescent="0.3">
      <c r="A24" s="3" t="s">
        <v>131</v>
      </c>
      <c r="B24">
        <v>24607</v>
      </c>
    </row>
    <row r="25" spans="1:2" x14ac:dyDescent="0.3">
      <c r="A25" s="3" t="s">
        <v>600</v>
      </c>
      <c r="B25">
        <v>8408805.1000000015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54D76-A69B-4F60-97EE-98D53A8C2F2C}">
  <dimension ref="A1:B12"/>
  <sheetViews>
    <sheetView workbookViewId="0">
      <selection activeCell="H22" sqref="H22"/>
    </sheetView>
  </sheetViews>
  <sheetFormatPr defaultRowHeight="14.4" x14ac:dyDescent="0.3"/>
  <cols>
    <col min="1" max="1" width="12.5546875" bestFit="1" customWidth="1"/>
    <col min="2" max="2" width="28.77734375" bestFit="1" customWidth="1"/>
  </cols>
  <sheetData>
    <row r="1" spans="1:2" x14ac:dyDescent="0.3">
      <c r="A1" s="2" t="s">
        <v>599</v>
      </c>
      <c r="B1" t="s">
        <v>601</v>
      </c>
    </row>
    <row r="2" spans="1:2" x14ac:dyDescent="0.3">
      <c r="A2" s="3" t="s">
        <v>14</v>
      </c>
      <c r="B2">
        <v>137492.1</v>
      </c>
    </row>
    <row r="3" spans="1:2" x14ac:dyDescent="0.3">
      <c r="A3" s="3" t="s">
        <v>20</v>
      </c>
      <c r="B3">
        <v>127861</v>
      </c>
    </row>
    <row r="4" spans="1:2" x14ac:dyDescent="0.3">
      <c r="A4" s="3" t="s">
        <v>24</v>
      </c>
      <c r="B4">
        <v>125899.8</v>
      </c>
    </row>
    <row r="5" spans="1:2" x14ac:dyDescent="0.3">
      <c r="A5" s="3" t="s">
        <v>27</v>
      </c>
      <c r="B5">
        <v>95703.2</v>
      </c>
    </row>
    <row r="6" spans="1:2" x14ac:dyDescent="0.3">
      <c r="A6" s="3" t="s">
        <v>29</v>
      </c>
      <c r="B6">
        <v>78104.399999999994</v>
      </c>
    </row>
    <row r="7" spans="1:2" x14ac:dyDescent="0.3">
      <c r="A7" s="3" t="s">
        <v>30</v>
      </c>
      <c r="B7">
        <v>68298.899999999994</v>
      </c>
    </row>
    <row r="8" spans="1:2" x14ac:dyDescent="0.3">
      <c r="A8" s="3" t="s">
        <v>31</v>
      </c>
      <c r="B8">
        <v>65349.7</v>
      </c>
    </row>
    <row r="9" spans="1:2" x14ac:dyDescent="0.3">
      <c r="A9" s="3" t="s">
        <v>32</v>
      </c>
      <c r="B9">
        <v>65142.9</v>
      </c>
    </row>
    <row r="10" spans="1:2" x14ac:dyDescent="0.3">
      <c r="A10" s="3" t="s">
        <v>33</v>
      </c>
      <c r="B10">
        <v>64656.9</v>
      </c>
    </row>
    <row r="11" spans="1:2" x14ac:dyDescent="0.3">
      <c r="A11" s="3" t="s">
        <v>35</v>
      </c>
      <c r="B11">
        <v>64549</v>
      </c>
    </row>
    <row r="12" spans="1:2" x14ac:dyDescent="0.3">
      <c r="A12" s="3" t="s">
        <v>600</v>
      </c>
      <c r="B12">
        <v>137492.1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641C1-147D-4743-B5FC-4DFBEA32DA49}">
  <dimension ref="A1:B45"/>
  <sheetViews>
    <sheetView zoomScale="62" workbookViewId="0"/>
  </sheetViews>
  <sheetFormatPr defaultRowHeight="14.4" x14ac:dyDescent="0.3"/>
  <cols>
    <col min="1" max="1" width="17.21875" bestFit="1" customWidth="1"/>
    <col min="2" max="2" width="29.21875" bestFit="1" customWidth="1"/>
  </cols>
  <sheetData>
    <row r="1" spans="1:2" x14ac:dyDescent="0.3">
      <c r="A1" s="2" t="s">
        <v>599</v>
      </c>
      <c r="B1" t="s">
        <v>596</v>
      </c>
    </row>
    <row r="2" spans="1:2" x14ac:dyDescent="0.3">
      <c r="A2" s="3" t="s">
        <v>22</v>
      </c>
      <c r="B2">
        <v>4786604.0000000009</v>
      </c>
    </row>
    <row r="3" spans="1:2" x14ac:dyDescent="0.3">
      <c r="A3" s="3" t="s">
        <v>34</v>
      </c>
      <c r="B3">
        <v>852177.79999999981</v>
      </c>
    </row>
    <row r="4" spans="1:2" x14ac:dyDescent="0.3">
      <c r="A4" s="3" t="s">
        <v>16</v>
      </c>
      <c r="B4">
        <v>496760.29999999993</v>
      </c>
    </row>
    <row r="5" spans="1:2" x14ac:dyDescent="0.3">
      <c r="A5" s="3" t="s">
        <v>90</v>
      </c>
      <c r="B5">
        <v>332177.89999999997</v>
      </c>
    </row>
    <row r="6" spans="1:2" x14ac:dyDescent="0.3">
      <c r="A6" s="3" t="s">
        <v>43</v>
      </c>
      <c r="B6">
        <v>327813.8</v>
      </c>
    </row>
    <row r="7" spans="1:2" x14ac:dyDescent="0.3">
      <c r="A7" s="3" t="s">
        <v>72</v>
      </c>
      <c r="B7">
        <v>186954.7</v>
      </c>
    </row>
    <row r="8" spans="1:2" x14ac:dyDescent="0.3">
      <c r="A8" s="3" t="s">
        <v>167</v>
      </c>
      <c r="B8">
        <v>164438.99999999997</v>
      </c>
    </row>
    <row r="9" spans="1:2" x14ac:dyDescent="0.3">
      <c r="A9" s="3" t="s">
        <v>46</v>
      </c>
      <c r="B9">
        <v>157338.70000000001</v>
      </c>
    </row>
    <row r="10" spans="1:2" x14ac:dyDescent="0.3">
      <c r="A10" s="3" t="s">
        <v>95</v>
      </c>
      <c r="B10">
        <v>108994.90000000001</v>
      </c>
    </row>
    <row r="11" spans="1:2" x14ac:dyDescent="0.3">
      <c r="A11" s="3" t="s">
        <v>60</v>
      </c>
      <c r="B11">
        <v>100884.5</v>
      </c>
    </row>
    <row r="12" spans="1:2" x14ac:dyDescent="0.3">
      <c r="A12" s="3" t="s">
        <v>223</v>
      </c>
      <c r="B12">
        <v>90817.600000000006</v>
      </c>
    </row>
    <row r="13" spans="1:2" x14ac:dyDescent="0.3">
      <c r="A13" s="3" t="s">
        <v>129</v>
      </c>
      <c r="B13">
        <v>81741.7</v>
      </c>
    </row>
    <row r="14" spans="1:2" x14ac:dyDescent="0.3">
      <c r="A14" s="3" t="s">
        <v>243</v>
      </c>
      <c r="B14">
        <v>72045.3</v>
      </c>
    </row>
    <row r="15" spans="1:2" x14ac:dyDescent="0.3">
      <c r="A15" s="3" t="s">
        <v>148</v>
      </c>
      <c r="B15">
        <v>64792.1</v>
      </c>
    </row>
    <row r="16" spans="1:2" x14ac:dyDescent="0.3">
      <c r="A16" s="3" t="s">
        <v>37</v>
      </c>
      <c r="B16">
        <v>60670.7</v>
      </c>
    </row>
    <row r="17" spans="1:2" x14ac:dyDescent="0.3">
      <c r="A17" s="3" t="s">
        <v>86</v>
      </c>
      <c r="B17">
        <v>48217.5</v>
      </c>
    </row>
    <row r="18" spans="1:2" x14ac:dyDescent="0.3">
      <c r="A18" s="3" t="s">
        <v>205</v>
      </c>
      <c r="B18">
        <v>43945.1</v>
      </c>
    </row>
    <row r="19" spans="1:2" x14ac:dyDescent="0.3">
      <c r="A19" s="3" t="s">
        <v>56</v>
      </c>
      <c r="B19">
        <v>43330.3</v>
      </c>
    </row>
    <row r="20" spans="1:2" x14ac:dyDescent="0.3">
      <c r="A20" s="3" t="s">
        <v>161</v>
      </c>
      <c r="B20">
        <v>36601.199999999997</v>
      </c>
    </row>
    <row r="21" spans="1:2" x14ac:dyDescent="0.3">
      <c r="A21" s="3" t="s">
        <v>184</v>
      </c>
      <c r="B21">
        <v>33196</v>
      </c>
    </row>
    <row r="22" spans="1:2" x14ac:dyDescent="0.3">
      <c r="A22" s="3" t="s">
        <v>182</v>
      </c>
      <c r="B22">
        <v>31685.8</v>
      </c>
    </row>
    <row r="23" spans="1:2" x14ac:dyDescent="0.3">
      <c r="A23" s="3" t="s">
        <v>407</v>
      </c>
      <c r="B23">
        <v>26576.399999999998</v>
      </c>
    </row>
    <row r="24" spans="1:2" x14ac:dyDescent="0.3">
      <c r="A24" s="3" t="s">
        <v>246</v>
      </c>
      <c r="B24">
        <v>25451.5</v>
      </c>
    </row>
    <row r="25" spans="1:2" x14ac:dyDescent="0.3">
      <c r="A25" s="3" t="s">
        <v>144</v>
      </c>
      <c r="B25">
        <v>21546.2</v>
      </c>
    </row>
    <row r="26" spans="1:2" x14ac:dyDescent="0.3">
      <c r="A26" s="3" t="s">
        <v>349</v>
      </c>
      <c r="B26">
        <v>21439.599999999999</v>
      </c>
    </row>
    <row r="27" spans="1:2" x14ac:dyDescent="0.3">
      <c r="A27" s="3" t="s">
        <v>163</v>
      </c>
      <c r="B27">
        <v>19528.3</v>
      </c>
    </row>
    <row r="28" spans="1:2" x14ac:dyDescent="0.3">
      <c r="A28" s="3" t="s">
        <v>440</v>
      </c>
      <c r="B28">
        <v>18016.599999999999</v>
      </c>
    </row>
    <row r="29" spans="1:2" x14ac:dyDescent="0.3">
      <c r="A29" s="3" t="s">
        <v>197</v>
      </c>
      <c r="B29">
        <v>17056</v>
      </c>
    </row>
    <row r="30" spans="1:2" x14ac:dyDescent="0.3">
      <c r="A30" s="3" t="s">
        <v>327</v>
      </c>
      <c r="B30">
        <v>11721</v>
      </c>
    </row>
    <row r="31" spans="1:2" x14ac:dyDescent="0.3">
      <c r="A31" s="3" t="s">
        <v>331</v>
      </c>
      <c r="B31">
        <v>11640.6</v>
      </c>
    </row>
    <row r="32" spans="1:2" x14ac:dyDescent="0.3">
      <c r="A32" s="3" t="s">
        <v>336</v>
      </c>
      <c r="B32">
        <v>11566.2</v>
      </c>
    </row>
    <row r="33" spans="1:2" x14ac:dyDescent="0.3">
      <c r="A33" s="3" t="s">
        <v>338</v>
      </c>
      <c r="B33">
        <v>11481.4</v>
      </c>
    </row>
    <row r="34" spans="1:2" x14ac:dyDescent="0.3">
      <c r="A34" s="3" t="s">
        <v>382</v>
      </c>
      <c r="B34">
        <v>10332.799999999999</v>
      </c>
    </row>
    <row r="35" spans="1:2" x14ac:dyDescent="0.3">
      <c r="A35" s="3" t="s">
        <v>387</v>
      </c>
      <c r="B35">
        <v>10234.299999999999</v>
      </c>
    </row>
    <row r="36" spans="1:2" x14ac:dyDescent="0.3">
      <c r="A36" s="3" t="s">
        <v>461</v>
      </c>
      <c r="B36">
        <v>8699.2000000000007</v>
      </c>
    </row>
    <row r="37" spans="1:2" x14ac:dyDescent="0.3">
      <c r="A37" s="3" t="s">
        <v>478</v>
      </c>
      <c r="B37">
        <v>8439.5</v>
      </c>
    </row>
    <row r="38" spans="1:2" x14ac:dyDescent="0.3">
      <c r="A38" s="3" t="s">
        <v>501</v>
      </c>
      <c r="B38">
        <v>8186.9</v>
      </c>
    </row>
    <row r="39" spans="1:2" x14ac:dyDescent="0.3">
      <c r="A39" s="3" t="s">
        <v>517</v>
      </c>
      <c r="B39">
        <v>7934.5</v>
      </c>
    </row>
    <row r="40" spans="1:2" x14ac:dyDescent="0.3">
      <c r="A40" s="3" t="s">
        <v>525</v>
      </c>
      <c r="B40">
        <v>7852.2</v>
      </c>
    </row>
    <row r="41" spans="1:2" x14ac:dyDescent="0.3">
      <c r="A41" s="3" t="s">
        <v>534</v>
      </c>
      <c r="B41">
        <v>7738.2</v>
      </c>
    </row>
    <row r="42" spans="1:2" x14ac:dyDescent="0.3">
      <c r="A42" s="3" t="s">
        <v>548</v>
      </c>
      <c r="B42">
        <v>7552.8</v>
      </c>
    </row>
    <row r="43" spans="1:2" x14ac:dyDescent="0.3">
      <c r="A43" s="3" t="s">
        <v>569</v>
      </c>
      <c r="B43">
        <v>7335.2</v>
      </c>
    </row>
    <row r="44" spans="1:2" x14ac:dyDescent="0.3">
      <c r="A44" s="3" t="s">
        <v>573</v>
      </c>
      <c r="B44">
        <v>7286.8</v>
      </c>
    </row>
    <row r="45" spans="1:2" x14ac:dyDescent="0.3">
      <c r="A45" s="3" t="s">
        <v>600</v>
      </c>
      <c r="B45">
        <v>8408805.1000000015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9D44F-9BA8-4F60-ACB2-E3DAE916EADB}">
  <dimension ref="B3:H28"/>
  <sheetViews>
    <sheetView zoomScale="57" zoomScaleNormal="57" workbookViewId="0">
      <selection activeCell="B3" sqref="B3:C6"/>
    </sheetView>
  </sheetViews>
  <sheetFormatPr defaultRowHeight="14.4" x14ac:dyDescent="0.3"/>
  <cols>
    <col min="2" max="2" width="17.88671875" bestFit="1" customWidth="1"/>
    <col min="3" max="3" width="38.109375" bestFit="1" customWidth="1"/>
    <col min="4" max="4" width="16.109375" bestFit="1" customWidth="1"/>
    <col min="5" max="5" width="34.44140625" bestFit="1" customWidth="1"/>
    <col min="6" max="6" width="22.109375" bestFit="1" customWidth="1"/>
    <col min="7" max="7" width="14" bestFit="1" customWidth="1"/>
    <col min="8" max="8" width="14.33203125" bestFit="1" customWidth="1"/>
  </cols>
  <sheetData>
    <row r="3" spans="2:8" x14ac:dyDescent="0.3">
      <c r="B3" s="2" t="s">
        <v>599</v>
      </c>
      <c r="C3" t="s">
        <v>596</v>
      </c>
      <c r="E3" s="2" t="s">
        <v>596</v>
      </c>
      <c r="F3" s="2" t="s">
        <v>605</v>
      </c>
    </row>
    <row r="4" spans="2:8" x14ac:dyDescent="0.3">
      <c r="B4" s="3" t="s">
        <v>49</v>
      </c>
      <c r="C4">
        <v>1687846.899999999</v>
      </c>
      <c r="E4" s="2" t="s">
        <v>606</v>
      </c>
      <c r="F4" t="s">
        <v>49</v>
      </c>
      <c r="G4" t="s">
        <v>19</v>
      </c>
      <c r="H4" t="s">
        <v>600</v>
      </c>
    </row>
    <row r="5" spans="2:8" x14ac:dyDescent="0.3">
      <c r="B5" s="3" t="s">
        <v>19</v>
      </c>
      <c r="C5">
        <v>6720958.1999999983</v>
      </c>
      <c r="E5" s="3" t="s">
        <v>350</v>
      </c>
      <c r="G5">
        <v>21439.599999999999</v>
      </c>
      <c r="H5">
        <v>21439.599999999999</v>
      </c>
    </row>
    <row r="6" spans="2:8" x14ac:dyDescent="0.3">
      <c r="B6" s="3" t="s">
        <v>600</v>
      </c>
      <c r="C6">
        <v>8408805.0999999978</v>
      </c>
      <c r="E6" s="3" t="s">
        <v>58</v>
      </c>
      <c r="F6">
        <v>87338.700000000012</v>
      </c>
      <c r="G6">
        <v>60888.6</v>
      </c>
      <c r="H6">
        <v>148227.30000000002</v>
      </c>
    </row>
    <row r="7" spans="2:8" x14ac:dyDescent="0.3">
      <c r="E7" s="3" t="s">
        <v>152</v>
      </c>
      <c r="F7">
        <v>10607</v>
      </c>
      <c r="G7">
        <v>30044.400000000001</v>
      </c>
      <c r="H7">
        <v>40651.4</v>
      </c>
    </row>
    <row r="8" spans="2:8" x14ac:dyDescent="0.3">
      <c r="E8" s="3" t="s">
        <v>488</v>
      </c>
      <c r="G8">
        <v>8316.5</v>
      </c>
      <c r="H8">
        <v>8316.5</v>
      </c>
    </row>
    <row r="9" spans="2:8" x14ac:dyDescent="0.3">
      <c r="E9" s="3" t="s">
        <v>99</v>
      </c>
      <c r="F9">
        <v>9869.2999999999993</v>
      </c>
      <c r="G9">
        <v>120416.9</v>
      </c>
      <c r="H9">
        <v>130286.2</v>
      </c>
    </row>
    <row r="10" spans="2:8" x14ac:dyDescent="0.3">
      <c r="E10" s="3" t="s">
        <v>61</v>
      </c>
      <c r="F10">
        <v>62169.9</v>
      </c>
      <c r="G10">
        <v>304927</v>
      </c>
      <c r="H10">
        <v>367096.9</v>
      </c>
    </row>
    <row r="11" spans="2:8" x14ac:dyDescent="0.3">
      <c r="E11" s="3" t="s">
        <v>74</v>
      </c>
      <c r="F11">
        <v>18749.2</v>
      </c>
      <c r="G11">
        <v>132608.69999999998</v>
      </c>
      <c r="H11">
        <v>151357.9</v>
      </c>
    </row>
    <row r="12" spans="2:8" x14ac:dyDescent="0.3">
      <c r="E12" s="3" t="s">
        <v>273</v>
      </c>
      <c r="F12">
        <v>9666.1</v>
      </c>
      <c r="G12">
        <v>29700.699999999997</v>
      </c>
      <c r="H12">
        <v>39366.799999999996</v>
      </c>
    </row>
    <row r="13" spans="2:8" x14ac:dyDescent="0.3">
      <c r="E13" s="3" t="s">
        <v>18</v>
      </c>
      <c r="F13">
        <v>77025.799999999988</v>
      </c>
      <c r="G13">
        <v>2049029.300000001</v>
      </c>
      <c r="H13">
        <v>2126055.100000001</v>
      </c>
    </row>
    <row r="14" spans="2:8" x14ac:dyDescent="0.3">
      <c r="E14" s="3" t="s">
        <v>48</v>
      </c>
      <c r="F14">
        <v>129576.4</v>
      </c>
      <c r="G14">
        <v>27762.3</v>
      </c>
      <c r="H14">
        <v>157338.69999999998</v>
      </c>
    </row>
    <row r="15" spans="2:8" x14ac:dyDescent="0.3">
      <c r="E15" s="3" t="s">
        <v>83</v>
      </c>
      <c r="F15">
        <v>83954.8</v>
      </c>
      <c r="G15">
        <v>294007.2</v>
      </c>
      <c r="H15">
        <v>377962</v>
      </c>
    </row>
    <row r="16" spans="2:8" x14ac:dyDescent="0.3">
      <c r="E16" s="3" t="s">
        <v>292</v>
      </c>
      <c r="F16">
        <v>73598.899999999994</v>
      </c>
      <c r="H16">
        <v>73598.899999999994</v>
      </c>
    </row>
    <row r="17" spans="5:8" x14ac:dyDescent="0.3">
      <c r="E17" s="3" t="s">
        <v>592</v>
      </c>
      <c r="F17">
        <v>7018.9</v>
      </c>
      <c r="H17">
        <v>7018.9</v>
      </c>
    </row>
    <row r="18" spans="5:8" x14ac:dyDescent="0.3">
      <c r="E18" s="3" t="s">
        <v>23</v>
      </c>
      <c r="F18">
        <v>169410.1</v>
      </c>
      <c r="G18">
        <v>1834191.7000000007</v>
      </c>
      <c r="H18">
        <v>2003601.8000000007</v>
      </c>
    </row>
    <row r="19" spans="5:8" x14ac:dyDescent="0.3">
      <c r="E19" s="3" t="s">
        <v>28</v>
      </c>
      <c r="F19">
        <v>9513</v>
      </c>
      <c r="G19">
        <v>561185.4</v>
      </c>
      <c r="H19">
        <v>570698.4</v>
      </c>
    </row>
    <row r="20" spans="5:8" x14ac:dyDescent="0.3">
      <c r="E20" s="3" t="s">
        <v>185</v>
      </c>
      <c r="F20">
        <v>14992.7</v>
      </c>
      <c r="G20">
        <v>18203.3</v>
      </c>
      <c r="H20">
        <v>33196</v>
      </c>
    </row>
    <row r="21" spans="5:8" x14ac:dyDescent="0.3">
      <c r="E21" s="3" t="s">
        <v>26</v>
      </c>
      <c r="F21">
        <v>34580.400000000001</v>
      </c>
      <c r="G21">
        <v>854274.69999999972</v>
      </c>
      <c r="H21">
        <v>888855.09999999974</v>
      </c>
    </row>
    <row r="22" spans="5:8" x14ac:dyDescent="0.3">
      <c r="E22" s="3" t="s">
        <v>91</v>
      </c>
      <c r="F22">
        <v>82855.999999999985</v>
      </c>
      <c r="G22">
        <v>173157.5</v>
      </c>
      <c r="H22">
        <v>256013.5</v>
      </c>
    </row>
    <row r="23" spans="5:8" x14ac:dyDescent="0.3">
      <c r="E23" s="3" t="s">
        <v>52</v>
      </c>
      <c r="F23">
        <v>687967.10000000009</v>
      </c>
      <c r="G23">
        <v>124115.5</v>
      </c>
      <c r="H23">
        <v>812082.60000000009</v>
      </c>
    </row>
    <row r="24" spans="5:8" x14ac:dyDescent="0.3">
      <c r="E24" s="3" t="s">
        <v>169</v>
      </c>
      <c r="F24">
        <v>62061.200000000004</v>
      </c>
      <c r="G24">
        <v>42737.200000000004</v>
      </c>
      <c r="H24">
        <v>104798.40000000001</v>
      </c>
    </row>
    <row r="25" spans="5:8" x14ac:dyDescent="0.3">
      <c r="E25" s="3" t="s">
        <v>455</v>
      </c>
      <c r="G25">
        <v>25044.800000000003</v>
      </c>
      <c r="H25">
        <v>25044.800000000003</v>
      </c>
    </row>
    <row r="26" spans="5:8" x14ac:dyDescent="0.3">
      <c r="E26" s="3" t="s">
        <v>140</v>
      </c>
      <c r="F26">
        <v>32284.399999999998</v>
      </c>
      <c r="G26">
        <v>8906.9</v>
      </c>
      <c r="H26">
        <v>41191.299999999996</v>
      </c>
    </row>
    <row r="27" spans="5:8" x14ac:dyDescent="0.3">
      <c r="E27" s="3" t="s">
        <v>131</v>
      </c>
      <c r="F27">
        <v>24607</v>
      </c>
      <c r="H27">
        <v>24607</v>
      </c>
    </row>
    <row r="28" spans="5:8" x14ac:dyDescent="0.3">
      <c r="E28" s="3" t="s">
        <v>600</v>
      </c>
      <c r="F28">
        <v>1687846.9</v>
      </c>
      <c r="G28">
        <v>6720958.200000003</v>
      </c>
      <c r="H28">
        <v>8408805.1000000015</v>
      </c>
    </row>
  </sheetData>
  <conditionalFormatting sqref="E4:G4 E5:E24">
    <cfRule type="colorScale" priority="1">
      <colorScale>
        <cfvo type="min"/>
        <cfvo type="max"/>
        <color theme="6" tint="0.79998168889431442"/>
        <color theme="6" tint="-0.499984740745262"/>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1DC75-2477-4559-A6EB-3194E4BFE30F}">
  <dimension ref="A1:G521"/>
  <sheetViews>
    <sheetView zoomScale="61" workbookViewId="0"/>
  </sheetViews>
  <sheetFormatPr defaultRowHeight="14.4" x14ac:dyDescent="0.3"/>
  <cols>
    <col min="1" max="1" width="18" bestFit="1" customWidth="1"/>
    <col min="2" max="2" width="25.21875" bestFit="1" customWidth="1"/>
    <col min="4" max="4" width="36.5546875" bestFit="1" customWidth="1"/>
    <col min="5" max="5" width="23.109375" bestFit="1" customWidth="1"/>
  </cols>
  <sheetData>
    <row r="1" spans="1:2" x14ac:dyDescent="0.3">
      <c r="A1" s="2" t="s">
        <v>599</v>
      </c>
      <c r="B1" t="s">
        <v>597</v>
      </c>
    </row>
    <row r="2" spans="1:2" x14ac:dyDescent="0.3">
      <c r="A2" s="3">
        <v>1939</v>
      </c>
      <c r="B2">
        <v>1</v>
      </c>
    </row>
    <row r="3" spans="1:2" x14ac:dyDescent="0.3">
      <c r="A3" s="3">
        <v>1949</v>
      </c>
      <c r="B3">
        <v>1</v>
      </c>
    </row>
    <row r="4" spans="1:2" x14ac:dyDescent="0.3">
      <c r="A4" s="3">
        <v>1954</v>
      </c>
      <c r="B4">
        <v>1</v>
      </c>
    </row>
    <row r="5" spans="1:2" x14ac:dyDescent="0.3">
      <c r="A5" s="3">
        <v>1955</v>
      </c>
      <c r="B5">
        <v>1</v>
      </c>
    </row>
    <row r="6" spans="1:2" x14ac:dyDescent="0.3">
      <c r="A6" s="3">
        <v>1962</v>
      </c>
      <c r="B6">
        <v>3</v>
      </c>
    </row>
    <row r="7" spans="1:2" x14ac:dyDescent="0.3">
      <c r="A7" s="3">
        <v>1963</v>
      </c>
      <c r="B7">
        <v>1</v>
      </c>
    </row>
    <row r="8" spans="1:2" x14ac:dyDescent="0.3">
      <c r="A8" s="3">
        <v>1964</v>
      </c>
      <c r="B8">
        <v>2</v>
      </c>
    </row>
    <row r="9" spans="1:2" x14ac:dyDescent="0.3">
      <c r="A9" s="3">
        <v>1966</v>
      </c>
      <c r="B9">
        <v>1</v>
      </c>
    </row>
    <row r="10" spans="1:2" x14ac:dyDescent="0.3">
      <c r="A10" s="3">
        <v>1967</v>
      </c>
      <c r="B10">
        <v>3</v>
      </c>
    </row>
    <row r="11" spans="1:2" x14ac:dyDescent="0.3">
      <c r="A11" s="3">
        <v>1968</v>
      </c>
      <c r="B11">
        <v>1</v>
      </c>
    </row>
    <row r="12" spans="1:2" x14ac:dyDescent="0.3">
      <c r="A12" s="3">
        <v>1969</v>
      </c>
      <c r="B12">
        <v>2</v>
      </c>
    </row>
    <row r="13" spans="1:2" x14ac:dyDescent="0.3">
      <c r="A13" s="3">
        <v>1971</v>
      </c>
      <c r="B13">
        <v>2</v>
      </c>
    </row>
    <row r="14" spans="1:2" x14ac:dyDescent="0.3">
      <c r="A14" s="3">
        <v>1972</v>
      </c>
      <c r="B14">
        <v>2</v>
      </c>
    </row>
    <row r="15" spans="1:2" x14ac:dyDescent="0.3">
      <c r="A15" s="3">
        <v>1973</v>
      </c>
      <c r="B15">
        <v>3</v>
      </c>
    </row>
    <row r="16" spans="1:2" x14ac:dyDescent="0.3">
      <c r="A16" s="3">
        <v>1975</v>
      </c>
      <c r="B16">
        <v>2</v>
      </c>
    </row>
    <row r="17" spans="1:7" x14ac:dyDescent="0.3">
      <c r="A17" s="3">
        <v>1977</v>
      </c>
      <c r="B17">
        <v>3</v>
      </c>
    </row>
    <row r="18" spans="1:7" x14ac:dyDescent="0.3">
      <c r="A18" s="3">
        <v>1978</v>
      </c>
      <c r="B18">
        <v>1</v>
      </c>
    </row>
    <row r="19" spans="1:7" x14ac:dyDescent="0.3">
      <c r="A19" s="3">
        <v>1979</v>
      </c>
      <c r="B19">
        <v>3</v>
      </c>
    </row>
    <row r="20" spans="1:7" x14ac:dyDescent="0.3">
      <c r="A20" s="3">
        <v>1980</v>
      </c>
      <c r="B20">
        <v>4</v>
      </c>
      <c r="D20" s="2" t="s">
        <v>599</v>
      </c>
      <c r="E20" t="s">
        <v>604</v>
      </c>
    </row>
    <row r="21" spans="1:7" x14ac:dyDescent="0.3">
      <c r="A21" s="3">
        <v>1981</v>
      </c>
      <c r="B21">
        <v>2</v>
      </c>
      <c r="D21" s="3" t="s">
        <v>257</v>
      </c>
      <c r="E21">
        <v>2013</v>
      </c>
      <c r="G21">
        <f>E21</f>
        <v>2013</v>
      </c>
    </row>
    <row r="22" spans="1:7" x14ac:dyDescent="0.3">
      <c r="A22" s="3">
        <v>1982</v>
      </c>
      <c r="B22">
        <v>3</v>
      </c>
      <c r="D22" s="3" t="s">
        <v>145</v>
      </c>
      <c r="E22">
        <v>2014</v>
      </c>
    </row>
    <row r="23" spans="1:7" x14ac:dyDescent="0.3">
      <c r="A23" s="3">
        <v>1983</v>
      </c>
      <c r="B23">
        <v>2</v>
      </c>
      <c r="D23" s="3" t="s">
        <v>265</v>
      </c>
      <c r="E23">
        <v>2007</v>
      </c>
    </row>
    <row r="24" spans="1:7" x14ac:dyDescent="0.3">
      <c r="A24" s="3">
        <v>1984</v>
      </c>
      <c r="B24">
        <v>3</v>
      </c>
      <c r="D24" s="3" t="s">
        <v>69</v>
      </c>
      <c r="E24">
        <v>2014</v>
      </c>
    </row>
    <row r="25" spans="1:7" x14ac:dyDescent="0.3">
      <c r="A25" s="3">
        <v>1985</v>
      </c>
      <c r="B25">
        <v>3</v>
      </c>
      <c r="D25" s="3" t="s">
        <v>259</v>
      </c>
      <c r="E25">
        <v>1991</v>
      </c>
    </row>
    <row r="26" spans="1:7" x14ac:dyDescent="0.3">
      <c r="A26" s="3">
        <v>1987</v>
      </c>
      <c r="B26">
        <v>1</v>
      </c>
      <c r="D26" s="3" t="s">
        <v>301</v>
      </c>
      <c r="E26">
        <v>2011</v>
      </c>
    </row>
    <row r="27" spans="1:7" x14ac:dyDescent="0.3">
      <c r="A27" s="3">
        <v>1988</v>
      </c>
      <c r="B27">
        <v>2</v>
      </c>
      <c r="D27" s="3" t="s">
        <v>153</v>
      </c>
      <c r="E27">
        <v>2003</v>
      </c>
    </row>
    <row r="28" spans="1:7" x14ac:dyDescent="0.3">
      <c r="A28" s="3">
        <v>1989</v>
      </c>
      <c r="B28">
        <v>3</v>
      </c>
      <c r="D28" s="3" t="s">
        <v>493</v>
      </c>
      <c r="E28">
        <v>2017</v>
      </c>
    </row>
    <row r="29" spans="1:7" x14ac:dyDescent="0.3">
      <c r="A29" s="3">
        <v>1990</v>
      </c>
      <c r="B29">
        <v>3</v>
      </c>
      <c r="D29" s="3" t="s">
        <v>529</v>
      </c>
      <c r="E29">
        <v>2016</v>
      </c>
    </row>
    <row r="30" spans="1:7" x14ac:dyDescent="0.3">
      <c r="A30" s="3">
        <v>1991</v>
      </c>
      <c r="B30">
        <v>5</v>
      </c>
      <c r="D30" s="3" t="s">
        <v>202</v>
      </c>
      <c r="E30">
        <v>2016</v>
      </c>
    </row>
    <row r="31" spans="1:7" x14ac:dyDescent="0.3">
      <c r="A31" s="3">
        <v>1992</v>
      </c>
      <c r="B31">
        <v>4</v>
      </c>
      <c r="D31" s="3" t="s">
        <v>133</v>
      </c>
      <c r="E31">
        <v>2011</v>
      </c>
    </row>
    <row r="32" spans="1:7" x14ac:dyDescent="0.3">
      <c r="A32" s="3">
        <v>1993</v>
      </c>
      <c r="B32">
        <v>2</v>
      </c>
      <c r="D32" s="3" t="s">
        <v>232</v>
      </c>
      <c r="E32">
        <v>1992</v>
      </c>
    </row>
    <row r="33" spans="1:5" x14ac:dyDescent="0.3">
      <c r="A33" s="3">
        <v>1994</v>
      </c>
      <c r="B33">
        <v>6</v>
      </c>
      <c r="D33" s="3" t="s">
        <v>304</v>
      </c>
      <c r="E33">
        <v>2004</v>
      </c>
    </row>
    <row r="34" spans="1:5" x14ac:dyDescent="0.3">
      <c r="A34" s="3">
        <v>1995</v>
      </c>
      <c r="B34">
        <v>5</v>
      </c>
      <c r="D34" s="3" t="s">
        <v>294</v>
      </c>
      <c r="E34">
        <v>1972</v>
      </c>
    </row>
    <row r="35" spans="1:5" x14ac:dyDescent="0.3">
      <c r="A35" s="3">
        <v>1996</v>
      </c>
      <c r="B35">
        <v>6</v>
      </c>
      <c r="D35" s="3" t="s">
        <v>198</v>
      </c>
      <c r="E35">
        <v>1975</v>
      </c>
    </row>
    <row r="36" spans="1:5" x14ac:dyDescent="0.3">
      <c r="A36" s="3">
        <v>1997</v>
      </c>
      <c r="B36">
        <v>6</v>
      </c>
      <c r="D36" s="3" t="s">
        <v>109</v>
      </c>
      <c r="E36">
        <v>2008</v>
      </c>
    </row>
    <row r="37" spans="1:5" x14ac:dyDescent="0.3">
      <c r="A37" s="3">
        <v>1998</v>
      </c>
      <c r="B37">
        <v>5</v>
      </c>
      <c r="D37" s="3" t="s">
        <v>498</v>
      </c>
      <c r="E37">
        <v>1973</v>
      </c>
    </row>
    <row r="38" spans="1:5" x14ac:dyDescent="0.3">
      <c r="A38" s="3">
        <v>1999</v>
      </c>
      <c r="B38">
        <v>10</v>
      </c>
      <c r="D38" s="3" t="s">
        <v>196</v>
      </c>
      <c r="E38">
        <v>2004</v>
      </c>
    </row>
    <row r="39" spans="1:5" x14ac:dyDescent="0.3">
      <c r="A39" s="3">
        <v>2000</v>
      </c>
      <c r="B39">
        <v>8</v>
      </c>
      <c r="D39" s="3" t="s">
        <v>201</v>
      </c>
      <c r="E39">
        <v>2014</v>
      </c>
    </row>
    <row r="40" spans="1:5" x14ac:dyDescent="0.3">
      <c r="A40" s="3">
        <v>2001</v>
      </c>
      <c r="B40">
        <v>9</v>
      </c>
      <c r="D40" s="3" t="s">
        <v>464</v>
      </c>
      <c r="E40">
        <v>1992</v>
      </c>
    </row>
    <row r="41" spans="1:5" x14ac:dyDescent="0.3">
      <c r="A41" s="3">
        <v>2002</v>
      </c>
      <c r="B41">
        <v>12</v>
      </c>
      <c r="D41" s="3" t="s">
        <v>426</v>
      </c>
      <c r="E41">
        <v>1989</v>
      </c>
    </row>
    <row r="42" spans="1:5" x14ac:dyDescent="0.3">
      <c r="A42" s="3">
        <v>2003</v>
      </c>
      <c r="B42">
        <v>12</v>
      </c>
      <c r="D42" s="3" t="s">
        <v>390</v>
      </c>
      <c r="E42">
        <v>2015</v>
      </c>
    </row>
    <row r="43" spans="1:5" x14ac:dyDescent="0.3">
      <c r="A43" s="3">
        <v>2004</v>
      </c>
      <c r="B43">
        <v>13</v>
      </c>
      <c r="D43" s="3" t="s">
        <v>532</v>
      </c>
      <c r="E43">
        <v>2010</v>
      </c>
    </row>
    <row r="44" spans="1:5" x14ac:dyDescent="0.3">
      <c r="A44" s="3">
        <v>2005</v>
      </c>
      <c r="B44">
        <v>9</v>
      </c>
      <c r="D44" s="3" t="s">
        <v>445</v>
      </c>
      <c r="E44">
        <v>2011</v>
      </c>
    </row>
    <row r="45" spans="1:5" x14ac:dyDescent="0.3">
      <c r="A45" s="3">
        <v>2006</v>
      </c>
      <c r="B45">
        <v>21</v>
      </c>
      <c r="D45" s="3" t="s">
        <v>318</v>
      </c>
      <c r="E45">
        <v>2001</v>
      </c>
    </row>
    <row r="46" spans="1:5" x14ac:dyDescent="0.3">
      <c r="A46" s="3">
        <v>2007</v>
      </c>
      <c r="B46">
        <v>18</v>
      </c>
      <c r="D46" s="3" t="s">
        <v>441</v>
      </c>
      <c r="E46">
        <v>1980</v>
      </c>
    </row>
    <row r="47" spans="1:5" x14ac:dyDescent="0.3">
      <c r="A47" s="3">
        <v>2008</v>
      </c>
      <c r="B47">
        <v>20</v>
      </c>
      <c r="D47" s="3" t="s">
        <v>395</v>
      </c>
      <c r="E47">
        <v>2004</v>
      </c>
    </row>
    <row r="48" spans="1:5" x14ac:dyDescent="0.3">
      <c r="A48" s="3">
        <v>2009</v>
      </c>
      <c r="B48">
        <v>24</v>
      </c>
      <c r="D48" s="3" t="s">
        <v>317</v>
      </c>
      <c r="E48">
        <v>2008</v>
      </c>
    </row>
    <row r="49" spans="1:5" x14ac:dyDescent="0.3">
      <c r="A49" s="3">
        <v>2010</v>
      </c>
      <c r="B49">
        <v>28</v>
      </c>
      <c r="D49" s="3" t="s">
        <v>454</v>
      </c>
      <c r="E49">
        <v>2003</v>
      </c>
    </row>
    <row r="50" spans="1:5" x14ac:dyDescent="0.3">
      <c r="A50" s="3">
        <v>2011</v>
      </c>
      <c r="B50">
        <v>22</v>
      </c>
      <c r="D50" s="3" t="s">
        <v>555</v>
      </c>
      <c r="E50">
        <v>2021</v>
      </c>
    </row>
    <row r="51" spans="1:5" x14ac:dyDescent="0.3">
      <c r="A51" s="3">
        <v>2012</v>
      </c>
      <c r="B51">
        <v>27</v>
      </c>
      <c r="D51" s="3" t="s">
        <v>418</v>
      </c>
      <c r="E51">
        <v>2014</v>
      </c>
    </row>
    <row r="52" spans="1:5" x14ac:dyDescent="0.3">
      <c r="A52" s="3">
        <v>2013</v>
      </c>
      <c r="B52">
        <v>24</v>
      </c>
      <c r="D52" s="3" t="s">
        <v>239</v>
      </c>
      <c r="E52">
        <v>2012</v>
      </c>
    </row>
    <row r="53" spans="1:5" x14ac:dyDescent="0.3">
      <c r="A53" s="3">
        <v>2014</v>
      </c>
      <c r="B53">
        <v>32</v>
      </c>
      <c r="D53" s="3" t="s">
        <v>228</v>
      </c>
      <c r="E53">
        <v>2012</v>
      </c>
    </row>
    <row r="54" spans="1:5" x14ac:dyDescent="0.3">
      <c r="A54" s="3">
        <v>2015</v>
      </c>
      <c r="B54">
        <v>29</v>
      </c>
      <c r="D54" s="3" t="s">
        <v>309</v>
      </c>
      <c r="E54">
        <v>2013</v>
      </c>
    </row>
    <row r="55" spans="1:5" x14ac:dyDescent="0.3">
      <c r="A55" s="3">
        <v>2016</v>
      </c>
      <c r="B55">
        <v>17</v>
      </c>
      <c r="D55" s="3" t="s">
        <v>65</v>
      </c>
      <c r="E55">
        <v>2011</v>
      </c>
    </row>
    <row r="56" spans="1:5" x14ac:dyDescent="0.3">
      <c r="A56" s="3">
        <v>2017</v>
      </c>
      <c r="B56">
        <v>28</v>
      </c>
      <c r="D56" s="3" t="s">
        <v>141</v>
      </c>
      <c r="E56">
        <v>2004</v>
      </c>
    </row>
    <row r="57" spans="1:5" x14ac:dyDescent="0.3">
      <c r="A57" s="3">
        <v>2018</v>
      </c>
      <c r="B57">
        <v>14</v>
      </c>
      <c r="D57" s="3" t="s">
        <v>113</v>
      </c>
      <c r="E57">
        <v>2005</v>
      </c>
    </row>
    <row r="58" spans="1:5" x14ac:dyDescent="0.3">
      <c r="A58" s="3">
        <v>2019</v>
      </c>
      <c r="B58">
        <v>11</v>
      </c>
      <c r="D58" s="3" t="s">
        <v>30</v>
      </c>
      <c r="E58">
        <v>2013</v>
      </c>
    </row>
    <row r="59" spans="1:5" x14ac:dyDescent="0.3">
      <c r="A59" s="3">
        <v>2020</v>
      </c>
      <c r="B59">
        <v>6</v>
      </c>
      <c r="D59" s="3" t="s">
        <v>71</v>
      </c>
      <c r="E59">
        <v>2011</v>
      </c>
    </row>
    <row r="60" spans="1:5" x14ac:dyDescent="0.3">
      <c r="A60" s="3">
        <v>2021</v>
      </c>
      <c r="B60">
        <v>4</v>
      </c>
      <c r="D60" s="3" t="s">
        <v>516</v>
      </c>
      <c r="E60">
        <v>2002</v>
      </c>
    </row>
    <row r="61" spans="1:5" x14ac:dyDescent="0.3">
      <c r="A61" s="3">
        <v>2022</v>
      </c>
      <c r="B61">
        <v>2</v>
      </c>
      <c r="D61" s="3" t="s">
        <v>305</v>
      </c>
      <c r="E61">
        <v>2008</v>
      </c>
    </row>
    <row r="62" spans="1:5" x14ac:dyDescent="0.3">
      <c r="A62" s="3">
        <v>2023</v>
      </c>
      <c r="B62">
        <v>2</v>
      </c>
      <c r="D62" s="3" t="s">
        <v>523</v>
      </c>
      <c r="E62">
        <v>2001</v>
      </c>
    </row>
    <row r="63" spans="1:5" x14ac:dyDescent="0.3">
      <c r="A63" s="3" t="s">
        <v>600</v>
      </c>
      <c r="B63">
        <v>500</v>
      </c>
      <c r="D63" s="3" t="s">
        <v>374</v>
      </c>
      <c r="E63">
        <v>1996</v>
      </c>
    </row>
    <row r="64" spans="1:5" x14ac:dyDescent="0.3">
      <c r="D64" s="3" t="s">
        <v>147</v>
      </c>
      <c r="E64">
        <v>2006</v>
      </c>
    </row>
    <row r="65" spans="4:5" x14ac:dyDescent="0.3">
      <c r="D65" s="3" t="s">
        <v>459</v>
      </c>
      <c r="E65">
        <v>2002</v>
      </c>
    </row>
    <row r="66" spans="4:5" x14ac:dyDescent="0.3">
      <c r="D66" s="3" t="s">
        <v>558</v>
      </c>
      <c r="E66">
        <v>2007</v>
      </c>
    </row>
    <row r="67" spans="4:5" x14ac:dyDescent="0.3">
      <c r="D67" s="3" t="s">
        <v>473</v>
      </c>
      <c r="E67">
        <v>1996</v>
      </c>
    </row>
    <row r="68" spans="4:5" x14ac:dyDescent="0.3">
      <c r="D68" s="3" t="s">
        <v>24</v>
      </c>
      <c r="E68">
        <v>2013</v>
      </c>
    </row>
    <row r="69" spans="4:5" x14ac:dyDescent="0.3">
      <c r="D69" s="3" t="s">
        <v>278</v>
      </c>
      <c r="E69">
        <v>2003</v>
      </c>
    </row>
    <row r="70" spans="4:5" x14ac:dyDescent="0.3">
      <c r="D70" s="3" t="s">
        <v>422</v>
      </c>
      <c r="E70">
        <v>2010</v>
      </c>
    </row>
    <row r="71" spans="4:5" x14ac:dyDescent="0.3">
      <c r="D71" s="3" t="s">
        <v>356</v>
      </c>
      <c r="E71">
        <v>2019</v>
      </c>
    </row>
    <row r="72" spans="4:5" x14ac:dyDescent="0.3">
      <c r="D72" s="3" t="s">
        <v>547</v>
      </c>
      <c r="E72">
        <v>2017</v>
      </c>
    </row>
    <row r="73" spans="4:5" x14ac:dyDescent="0.3">
      <c r="D73" s="3" t="s">
        <v>192</v>
      </c>
      <c r="E73">
        <v>2014</v>
      </c>
    </row>
    <row r="74" spans="4:5" x14ac:dyDescent="0.3">
      <c r="D74" s="3" t="s">
        <v>295</v>
      </c>
      <c r="E74">
        <v>2013</v>
      </c>
    </row>
    <row r="75" spans="4:5" x14ac:dyDescent="0.3">
      <c r="D75" s="3" t="s">
        <v>499</v>
      </c>
      <c r="E75">
        <v>1963</v>
      </c>
    </row>
    <row r="76" spans="4:5" x14ac:dyDescent="0.3">
      <c r="D76" s="3" t="s">
        <v>583</v>
      </c>
      <c r="E76">
        <v>2007</v>
      </c>
    </row>
    <row r="77" spans="4:5" x14ac:dyDescent="0.3">
      <c r="D77" s="3" t="s">
        <v>400</v>
      </c>
      <c r="E77">
        <v>2021</v>
      </c>
    </row>
    <row r="78" spans="4:5" x14ac:dyDescent="0.3">
      <c r="D78" s="3" t="s">
        <v>81</v>
      </c>
      <c r="E78">
        <v>2003</v>
      </c>
    </row>
    <row r="79" spans="4:5" x14ac:dyDescent="0.3">
      <c r="D79" s="3" t="s">
        <v>487</v>
      </c>
      <c r="E79">
        <v>1980</v>
      </c>
    </row>
    <row r="80" spans="4:5" x14ac:dyDescent="0.3">
      <c r="D80" s="3" t="s">
        <v>208</v>
      </c>
      <c r="E80">
        <v>2007</v>
      </c>
    </row>
    <row r="81" spans="4:5" x14ac:dyDescent="0.3">
      <c r="D81" s="3" t="s">
        <v>38</v>
      </c>
      <c r="E81">
        <v>2015</v>
      </c>
    </row>
    <row r="82" spans="4:5" x14ac:dyDescent="0.3">
      <c r="D82" s="3" t="s">
        <v>429</v>
      </c>
      <c r="E82">
        <v>1971</v>
      </c>
    </row>
    <row r="83" spans="4:5" x14ac:dyDescent="0.3">
      <c r="D83" s="3" t="s">
        <v>224</v>
      </c>
      <c r="E83">
        <v>2017</v>
      </c>
    </row>
    <row r="84" spans="4:5" x14ac:dyDescent="0.3">
      <c r="D84" s="3" t="s">
        <v>219</v>
      </c>
      <c r="E84">
        <v>1998</v>
      </c>
    </row>
    <row r="85" spans="4:5" x14ac:dyDescent="0.3">
      <c r="D85" s="3" t="s">
        <v>342</v>
      </c>
      <c r="E85">
        <v>2006</v>
      </c>
    </row>
    <row r="86" spans="4:5" x14ac:dyDescent="0.3">
      <c r="D86" s="3" t="s">
        <v>190</v>
      </c>
      <c r="E86">
        <v>2016</v>
      </c>
    </row>
    <row r="87" spans="4:5" x14ac:dyDescent="0.3">
      <c r="D87" s="3" t="s">
        <v>442</v>
      </c>
      <c r="E87">
        <v>2018</v>
      </c>
    </row>
    <row r="88" spans="4:5" x14ac:dyDescent="0.3">
      <c r="D88" s="3" t="s">
        <v>367</v>
      </c>
      <c r="E88">
        <v>1995</v>
      </c>
    </row>
    <row r="89" spans="4:5" x14ac:dyDescent="0.3">
      <c r="D89" s="3" t="s">
        <v>237</v>
      </c>
      <c r="E89">
        <v>1962</v>
      </c>
    </row>
    <row r="90" spans="4:5" x14ac:dyDescent="0.3">
      <c r="D90" s="3" t="s">
        <v>505</v>
      </c>
      <c r="E90">
        <v>2007</v>
      </c>
    </row>
    <row r="91" spans="4:5" x14ac:dyDescent="0.3">
      <c r="D91" s="3" t="s">
        <v>365</v>
      </c>
      <c r="E91">
        <v>1984</v>
      </c>
    </row>
    <row r="92" spans="4:5" x14ac:dyDescent="0.3">
      <c r="D92" s="3" t="s">
        <v>486</v>
      </c>
      <c r="E92">
        <v>2006</v>
      </c>
    </row>
    <row r="93" spans="4:5" x14ac:dyDescent="0.3">
      <c r="D93" s="3" t="s">
        <v>276</v>
      </c>
      <c r="E93">
        <v>2013</v>
      </c>
    </row>
    <row r="94" spans="4:5" x14ac:dyDescent="0.3">
      <c r="D94" s="3" t="s">
        <v>396</v>
      </c>
      <c r="E94">
        <v>2006</v>
      </c>
    </row>
    <row r="95" spans="4:5" x14ac:dyDescent="0.3">
      <c r="D95" s="3" t="s">
        <v>213</v>
      </c>
      <c r="E95">
        <v>1998</v>
      </c>
    </row>
    <row r="96" spans="4:5" x14ac:dyDescent="0.3">
      <c r="D96" s="3" t="s">
        <v>444</v>
      </c>
      <c r="E96">
        <v>1973</v>
      </c>
    </row>
    <row r="97" spans="4:5" x14ac:dyDescent="0.3">
      <c r="D97" s="3" t="s">
        <v>39</v>
      </c>
      <c r="E97">
        <v>2010</v>
      </c>
    </row>
    <row r="98" spans="4:5" x14ac:dyDescent="0.3">
      <c r="D98" s="3" t="s">
        <v>552</v>
      </c>
      <c r="E98">
        <v>1980</v>
      </c>
    </row>
    <row r="99" spans="4:5" x14ac:dyDescent="0.3">
      <c r="D99" s="3" t="s">
        <v>313</v>
      </c>
      <c r="E99">
        <v>2015</v>
      </c>
    </row>
    <row r="100" spans="4:5" x14ac:dyDescent="0.3">
      <c r="D100" s="3" t="s">
        <v>267</v>
      </c>
      <c r="E100">
        <v>2011</v>
      </c>
    </row>
    <row r="101" spans="4:5" x14ac:dyDescent="0.3">
      <c r="D101" s="3" t="s">
        <v>531</v>
      </c>
      <c r="E101">
        <v>2014</v>
      </c>
    </row>
    <row r="102" spans="4:5" x14ac:dyDescent="0.3">
      <c r="D102" s="3" t="s">
        <v>45</v>
      </c>
      <c r="E102">
        <v>2013</v>
      </c>
    </row>
    <row r="103" spans="4:5" x14ac:dyDescent="0.3">
      <c r="D103" s="3" t="s">
        <v>385</v>
      </c>
      <c r="E103">
        <v>2012</v>
      </c>
    </row>
    <row r="104" spans="4:5" x14ac:dyDescent="0.3">
      <c r="D104" s="3" t="s">
        <v>551</v>
      </c>
      <c r="E104">
        <v>1981</v>
      </c>
    </row>
    <row r="105" spans="4:5" x14ac:dyDescent="0.3">
      <c r="D105" s="3" t="s">
        <v>479</v>
      </c>
      <c r="E105">
        <v>2010</v>
      </c>
    </row>
    <row r="106" spans="4:5" x14ac:dyDescent="0.3">
      <c r="D106" s="3" t="s">
        <v>580</v>
      </c>
      <c r="E106">
        <v>2016</v>
      </c>
    </row>
    <row r="107" spans="4:5" x14ac:dyDescent="0.3">
      <c r="D107" s="3" t="s">
        <v>85</v>
      </c>
      <c r="E107">
        <v>2007</v>
      </c>
    </row>
    <row r="108" spans="4:5" x14ac:dyDescent="0.3">
      <c r="D108" s="3" t="s">
        <v>143</v>
      </c>
      <c r="E108">
        <v>2012</v>
      </c>
    </row>
    <row r="109" spans="4:5" x14ac:dyDescent="0.3">
      <c r="D109" s="3" t="s">
        <v>263</v>
      </c>
      <c r="E109">
        <v>2007</v>
      </c>
    </row>
    <row r="110" spans="4:5" x14ac:dyDescent="0.3">
      <c r="D110" s="3" t="s">
        <v>200</v>
      </c>
      <c r="E110">
        <v>2010</v>
      </c>
    </row>
    <row r="111" spans="4:5" x14ac:dyDescent="0.3">
      <c r="D111" s="3" t="s">
        <v>137</v>
      </c>
      <c r="E111">
        <v>2015</v>
      </c>
    </row>
    <row r="112" spans="4:5" x14ac:dyDescent="0.3">
      <c r="D112" s="3" t="s">
        <v>436</v>
      </c>
      <c r="E112">
        <v>2002</v>
      </c>
    </row>
    <row r="113" spans="4:5" x14ac:dyDescent="0.3">
      <c r="D113" s="3" t="s">
        <v>397</v>
      </c>
      <c r="E113">
        <v>2014</v>
      </c>
    </row>
    <row r="114" spans="4:5" x14ac:dyDescent="0.3">
      <c r="D114" s="3" t="s">
        <v>340</v>
      </c>
      <c r="E114">
        <v>2012</v>
      </c>
    </row>
    <row r="115" spans="4:5" x14ac:dyDescent="0.3">
      <c r="D115" s="3" t="s">
        <v>480</v>
      </c>
      <c r="E115">
        <v>2017</v>
      </c>
    </row>
    <row r="116" spans="4:5" x14ac:dyDescent="0.3">
      <c r="D116" s="3" t="s">
        <v>244</v>
      </c>
      <c r="E116">
        <v>2008</v>
      </c>
    </row>
    <row r="117" spans="4:5" x14ac:dyDescent="0.3">
      <c r="D117" s="3" t="s">
        <v>179</v>
      </c>
      <c r="E117">
        <v>2015</v>
      </c>
    </row>
    <row r="118" spans="4:5" x14ac:dyDescent="0.3">
      <c r="D118" s="3" t="s">
        <v>419</v>
      </c>
      <c r="E118">
        <v>2014</v>
      </c>
    </row>
    <row r="119" spans="4:5" x14ac:dyDescent="0.3">
      <c r="D119" s="3" t="s">
        <v>363</v>
      </c>
      <c r="E119">
        <v>1999</v>
      </c>
    </row>
    <row r="120" spans="4:5" x14ac:dyDescent="0.3">
      <c r="D120" s="3" t="s">
        <v>285</v>
      </c>
      <c r="E120">
        <v>2008</v>
      </c>
    </row>
    <row r="121" spans="4:5" x14ac:dyDescent="0.3">
      <c r="D121" s="3" t="s">
        <v>54</v>
      </c>
      <c r="E121">
        <v>2005</v>
      </c>
    </row>
    <row r="122" spans="4:5" x14ac:dyDescent="0.3">
      <c r="D122" s="3" t="s">
        <v>329</v>
      </c>
      <c r="E122">
        <v>2015</v>
      </c>
    </row>
    <row r="123" spans="4:5" x14ac:dyDescent="0.3">
      <c r="D123" s="3" t="s">
        <v>275</v>
      </c>
      <c r="E123">
        <v>2016</v>
      </c>
    </row>
    <row r="124" spans="4:5" x14ac:dyDescent="0.3">
      <c r="D124" s="3" t="s">
        <v>352</v>
      </c>
      <c r="E124">
        <v>1999</v>
      </c>
    </row>
    <row r="125" spans="4:5" x14ac:dyDescent="0.3">
      <c r="D125" s="3" t="s">
        <v>284</v>
      </c>
      <c r="E125">
        <v>2008</v>
      </c>
    </row>
    <row r="126" spans="4:5" x14ac:dyDescent="0.3">
      <c r="D126" s="3" t="s">
        <v>450</v>
      </c>
      <c r="E126">
        <v>2012</v>
      </c>
    </row>
    <row r="127" spans="4:5" x14ac:dyDescent="0.3">
      <c r="D127" s="3" t="s">
        <v>371</v>
      </c>
      <c r="E127">
        <v>2012</v>
      </c>
    </row>
    <row r="128" spans="4:5" x14ac:dyDescent="0.3">
      <c r="D128" s="3" t="s">
        <v>51</v>
      </c>
      <c r="E128">
        <v>1999</v>
      </c>
    </row>
    <row r="129" spans="4:5" x14ac:dyDescent="0.3">
      <c r="D129" s="3" t="s">
        <v>383</v>
      </c>
      <c r="E129">
        <v>2017</v>
      </c>
    </row>
    <row r="130" spans="4:5" x14ac:dyDescent="0.3">
      <c r="D130" s="3" t="s">
        <v>343</v>
      </c>
      <c r="E130">
        <v>1968</v>
      </c>
    </row>
    <row r="131" spans="4:5" x14ac:dyDescent="0.3">
      <c r="D131" s="3" t="s">
        <v>335</v>
      </c>
      <c r="E131">
        <v>2019</v>
      </c>
    </row>
    <row r="132" spans="4:5" x14ac:dyDescent="0.3">
      <c r="D132" s="3" t="s">
        <v>157</v>
      </c>
      <c r="E132">
        <v>2015</v>
      </c>
    </row>
    <row r="133" spans="4:5" x14ac:dyDescent="0.3">
      <c r="D133" s="3" t="s">
        <v>63</v>
      </c>
      <c r="E133">
        <v>1991</v>
      </c>
    </row>
    <row r="134" spans="4:5" x14ac:dyDescent="0.3">
      <c r="D134" s="3" t="s">
        <v>193</v>
      </c>
      <c r="E134">
        <v>1994</v>
      </c>
    </row>
    <row r="135" spans="4:5" x14ac:dyDescent="0.3">
      <c r="D135" s="3" t="s">
        <v>401</v>
      </c>
      <c r="E135">
        <v>2014</v>
      </c>
    </row>
    <row r="136" spans="4:5" x14ac:dyDescent="0.3">
      <c r="D136" s="3" t="s">
        <v>218</v>
      </c>
      <c r="E136">
        <v>2014</v>
      </c>
    </row>
    <row r="137" spans="4:5" x14ac:dyDescent="0.3">
      <c r="D137" s="3" t="s">
        <v>386</v>
      </c>
      <c r="E137">
        <v>2009</v>
      </c>
    </row>
    <row r="138" spans="4:5" x14ac:dyDescent="0.3">
      <c r="D138" s="3" t="s">
        <v>364</v>
      </c>
      <c r="E138">
        <v>2010</v>
      </c>
    </row>
    <row r="139" spans="4:5" x14ac:dyDescent="0.3">
      <c r="D139" s="3" t="s">
        <v>458</v>
      </c>
      <c r="E139">
        <v>2015</v>
      </c>
    </row>
    <row r="140" spans="4:5" x14ac:dyDescent="0.3">
      <c r="D140" s="3" t="s">
        <v>372</v>
      </c>
      <c r="E140">
        <v>1967</v>
      </c>
    </row>
    <row r="141" spans="4:5" x14ac:dyDescent="0.3">
      <c r="D141" s="3" t="s">
        <v>59</v>
      </c>
      <c r="E141">
        <v>1990</v>
      </c>
    </row>
    <row r="142" spans="4:5" x14ac:dyDescent="0.3">
      <c r="D142" s="3" t="s">
        <v>380</v>
      </c>
      <c r="E142">
        <v>2004</v>
      </c>
    </row>
    <row r="143" spans="4:5" x14ac:dyDescent="0.3">
      <c r="D143" s="3" t="s">
        <v>449</v>
      </c>
      <c r="E143">
        <v>1995</v>
      </c>
    </row>
    <row r="144" spans="4:5" x14ac:dyDescent="0.3">
      <c r="D144" s="3" t="s">
        <v>195</v>
      </c>
      <c r="E144">
        <v>2008</v>
      </c>
    </row>
    <row r="145" spans="4:5" x14ac:dyDescent="0.3">
      <c r="D145" s="3" t="s">
        <v>128</v>
      </c>
      <c r="E145">
        <v>1979</v>
      </c>
    </row>
    <row r="146" spans="4:5" x14ac:dyDescent="0.3">
      <c r="D146" s="3" t="s">
        <v>149</v>
      </c>
      <c r="E146">
        <v>2002</v>
      </c>
    </row>
    <row r="147" spans="4:5" x14ac:dyDescent="0.3">
      <c r="D147" s="3" t="s">
        <v>521</v>
      </c>
      <c r="E147">
        <v>1978</v>
      </c>
    </row>
    <row r="148" spans="4:5" x14ac:dyDescent="0.3">
      <c r="D148" s="3" t="s">
        <v>530</v>
      </c>
      <c r="E148">
        <v>2010</v>
      </c>
    </row>
    <row r="149" spans="4:5" x14ac:dyDescent="0.3">
      <c r="D149" s="3" t="s">
        <v>139</v>
      </c>
      <c r="E149">
        <v>1949</v>
      </c>
    </row>
    <row r="150" spans="4:5" x14ac:dyDescent="0.3">
      <c r="D150" s="3" t="s">
        <v>543</v>
      </c>
      <c r="E150">
        <v>2000</v>
      </c>
    </row>
    <row r="151" spans="4:5" x14ac:dyDescent="0.3">
      <c r="D151" s="3" t="s">
        <v>347</v>
      </c>
      <c r="E151">
        <v>2006</v>
      </c>
    </row>
    <row r="152" spans="4:5" x14ac:dyDescent="0.3">
      <c r="D152" s="3" t="s">
        <v>453</v>
      </c>
      <c r="E152">
        <v>2010</v>
      </c>
    </row>
    <row r="153" spans="4:5" x14ac:dyDescent="0.3">
      <c r="D153" s="3" t="s">
        <v>217</v>
      </c>
      <c r="E153">
        <v>2013</v>
      </c>
    </row>
    <row r="154" spans="4:5" x14ac:dyDescent="0.3">
      <c r="D154" s="3" t="s">
        <v>96</v>
      </c>
      <c r="E154">
        <v>2012</v>
      </c>
    </row>
    <row r="155" spans="4:5" x14ac:dyDescent="0.3">
      <c r="D155" s="3" t="s">
        <v>554</v>
      </c>
      <c r="E155">
        <v>2017</v>
      </c>
    </row>
    <row r="156" spans="4:5" x14ac:dyDescent="0.3">
      <c r="D156" s="3" t="s">
        <v>177</v>
      </c>
      <c r="E156">
        <v>2003</v>
      </c>
    </row>
    <row r="157" spans="4:5" x14ac:dyDescent="0.3">
      <c r="D157" s="3" t="s">
        <v>158</v>
      </c>
      <c r="E157">
        <v>2017</v>
      </c>
    </row>
    <row r="158" spans="4:5" x14ac:dyDescent="0.3">
      <c r="D158" s="3" t="s">
        <v>282</v>
      </c>
      <c r="E158">
        <v>1984</v>
      </c>
    </row>
    <row r="159" spans="4:5" x14ac:dyDescent="0.3">
      <c r="D159" s="3" t="s">
        <v>14</v>
      </c>
      <c r="E159">
        <v>2006</v>
      </c>
    </row>
    <row r="160" spans="4:5" x14ac:dyDescent="0.3">
      <c r="D160" s="3" t="s">
        <v>62</v>
      </c>
      <c r="E160">
        <v>2015</v>
      </c>
    </row>
    <row r="161" spans="4:5" x14ac:dyDescent="0.3">
      <c r="D161" s="3" t="s">
        <v>222</v>
      </c>
      <c r="E161">
        <v>2016</v>
      </c>
    </row>
    <row r="162" spans="4:5" x14ac:dyDescent="0.3">
      <c r="D162" s="3" t="s">
        <v>512</v>
      </c>
      <c r="E162">
        <v>1972</v>
      </c>
    </row>
    <row r="163" spans="4:5" x14ac:dyDescent="0.3">
      <c r="D163" s="3" t="s">
        <v>33</v>
      </c>
      <c r="E163">
        <v>2011</v>
      </c>
    </row>
    <row r="164" spans="4:5" x14ac:dyDescent="0.3">
      <c r="D164" s="3" t="s">
        <v>439</v>
      </c>
      <c r="E164">
        <v>2008</v>
      </c>
    </row>
    <row r="165" spans="4:5" x14ac:dyDescent="0.3">
      <c r="D165" s="3" t="s">
        <v>315</v>
      </c>
      <c r="E165">
        <v>2017</v>
      </c>
    </row>
    <row r="166" spans="4:5" x14ac:dyDescent="0.3">
      <c r="D166" s="3" t="s">
        <v>206</v>
      </c>
      <c r="E166">
        <v>2009</v>
      </c>
    </row>
    <row r="167" spans="4:5" x14ac:dyDescent="0.3">
      <c r="D167" s="3" t="s">
        <v>171</v>
      </c>
      <c r="E167">
        <v>1969</v>
      </c>
    </row>
    <row r="168" spans="4:5" x14ac:dyDescent="0.3">
      <c r="D168" s="3" t="s">
        <v>333</v>
      </c>
      <c r="E168">
        <v>1954</v>
      </c>
    </row>
    <row r="169" spans="4:5" x14ac:dyDescent="0.3">
      <c r="D169" s="3" t="s">
        <v>35</v>
      </c>
      <c r="E169">
        <v>1996</v>
      </c>
    </row>
    <row r="170" spans="4:5" x14ac:dyDescent="0.3">
      <c r="D170" s="3" t="s">
        <v>553</v>
      </c>
      <c r="E170">
        <v>2020</v>
      </c>
    </row>
    <row r="171" spans="4:5" x14ac:dyDescent="0.3">
      <c r="D171" s="3" t="s">
        <v>297</v>
      </c>
      <c r="E171">
        <v>1995</v>
      </c>
    </row>
    <row r="172" spans="4:5" x14ac:dyDescent="0.3">
      <c r="D172" s="3" t="s">
        <v>506</v>
      </c>
      <c r="E172">
        <v>2020</v>
      </c>
    </row>
    <row r="173" spans="4:5" x14ac:dyDescent="0.3">
      <c r="D173" s="3" t="s">
        <v>247</v>
      </c>
      <c r="E173">
        <v>2003</v>
      </c>
    </row>
    <row r="174" spans="4:5" x14ac:dyDescent="0.3">
      <c r="D174" s="3" t="s">
        <v>101</v>
      </c>
      <c r="E174">
        <v>2009</v>
      </c>
    </row>
    <row r="175" spans="4:5" x14ac:dyDescent="0.3">
      <c r="D175" s="3" t="s">
        <v>84</v>
      </c>
      <c r="E175">
        <v>2015</v>
      </c>
    </row>
    <row r="176" spans="4:5" x14ac:dyDescent="0.3">
      <c r="D176" s="3" t="s">
        <v>491</v>
      </c>
      <c r="E176">
        <v>2013</v>
      </c>
    </row>
    <row r="177" spans="4:5" x14ac:dyDescent="0.3">
      <c r="D177" s="3" t="s">
        <v>467</v>
      </c>
      <c r="E177">
        <v>2014</v>
      </c>
    </row>
    <row r="178" spans="4:5" x14ac:dyDescent="0.3">
      <c r="D178" s="3" t="s">
        <v>570</v>
      </c>
      <c r="E178">
        <v>2007</v>
      </c>
    </row>
    <row r="179" spans="4:5" x14ac:dyDescent="0.3">
      <c r="D179" s="3" t="s">
        <v>203</v>
      </c>
      <c r="E179">
        <v>1967</v>
      </c>
    </row>
    <row r="180" spans="4:5" x14ac:dyDescent="0.3">
      <c r="D180" s="3" t="s">
        <v>209</v>
      </c>
      <c r="E180">
        <v>2007</v>
      </c>
    </row>
    <row r="181" spans="4:5" x14ac:dyDescent="0.3">
      <c r="D181" s="3" t="s">
        <v>424</v>
      </c>
      <c r="E181">
        <v>2009</v>
      </c>
    </row>
    <row r="182" spans="4:5" x14ac:dyDescent="0.3">
      <c r="D182" s="3" t="s">
        <v>409</v>
      </c>
      <c r="E182">
        <v>2010</v>
      </c>
    </row>
    <row r="183" spans="4:5" x14ac:dyDescent="0.3">
      <c r="D183" s="3" t="s">
        <v>375</v>
      </c>
      <c r="E183">
        <v>1994</v>
      </c>
    </row>
    <row r="184" spans="4:5" x14ac:dyDescent="0.3">
      <c r="D184" s="3" t="s">
        <v>127</v>
      </c>
      <c r="E184">
        <v>2011</v>
      </c>
    </row>
    <row r="185" spans="4:5" x14ac:dyDescent="0.3">
      <c r="D185" s="3" t="s">
        <v>311</v>
      </c>
      <c r="E185">
        <v>1939</v>
      </c>
    </row>
    <row r="186" spans="4:5" x14ac:dyDescent="0.3">
      <c r="D186" s="3" t="s">
        <v>330</v>
      </c>
      <c r="E186">
        <v>2002</v>
      </c>
    </row>
    <row r="187" spans="4:5" x14ac:dyDescent="0.3">
      <c r="D187" s="3" t="s">
        <v>114</v>
      </c>
      <c r="E187">
        <v>2018</v>
      </c>
    </row>
    <row r="188" spans="4:5" x14ac:dyDescent="0.3">
      <c r="D188" s="3" t="s">
        <v>44</v>
      </c>
      <c r="E188">
        <v>2010</v>
      </c>
    </row>
    <row r="189" spans="4:5" x14ac:dyDescent="0.3">
      <c r="D189" s="3" t="s">
        <v>438</v>
      </c>
      <c r="E189">
        <v>2015</v>
      </c>
    </row>
    <row r="190" spans="4:5" x14ac:dyDescent="0.3">
      <c r="D190" s="3" t="s">
        <v>234</v>
      </c>
      <c r="E190">
        <v>2006</v>
      </c>
    </row>
    <row r="191" spans="4:5" x14ac:dyDescent="0.3">
      <c r="D191" s="3" t="s">
        <v>477</v>
      </c>
      <c r="E191">
        <v>2013</v>
      </c>
    </row>
    <row r="192" spans="4:5" x14ac:dyDescent="0.3">
      <c r="D192" s="3" t="s">
        <v>428</v>
      </c>
      <c r="E192">
        <v>2018</v>
      </c>
    </row>
    <row r="193" spans="4:5" x14ac:dyDescent="0.3">
      <c r="D193" s="3" t="s">
        <v>465</v>
      </c>
      <c r="E193">
        <v>2012</v>
      </c>
    </row>
    <row r="194" spans="4:5" x14ac:dyDescent="0.3">
      <c r="D194" s="3" t="s">
        <v>260</v>
      </c>
      <c r="E194">
        <v>2001</v>
      </c>
    </row>
    <row r="195" spans="4:5" x14ac:dyDescent="0.3">
      <c r="D195" s="3" t="s">
        <v>413</v>
      </c>
      <c r="E195">
        <v>2019</v>
      </c>
    </row>
    <row r="196" spans="4:5" x14ac:dyDescent="0.3">
      <c r="D196" s="3" t="s">
        <v>229</v>
      </c>
      <c r="E196">
        <v>1990</v>
      </c>
    </row>
    <row r="197" spans="4:5" x14ac:dyDescent="0.3">
      <c r="D197" s="3" t="s">
        <v>316</v>
      </c>
      <c r="E197">
        <v>2014</v>
      </c>
    </row>
    <row r="198" spans="4:5" x14ac:dyDescent="0.3">
      <c r="D198" s="3" t="s">
        <v>262</v>
      </c>
      <c r="E198">
        <v>2022</v>
      </c>
    </row>
    <row r="199" spans="4:5" x14ac:dyDescent="0.3">
      <c r="D199" s="3" t="s">
        <v>582</v>
      </c>
      <c r="E199">
        <v>2015</v>
      </c>
    </row>
    <row r="200" spans="4:5" x14ac:dyDescent="0.3">
      <c r="D200" s="3" t="s">
        <v>574</v>
      </c>
      <c r="E200">
        <v>2016</v>
      </c>
    </row>
    <row r="201" spans="4:5" x14ac:dyDescent="0.3">
      <c r="D201" s="3" t="s">
        <v>241</v>
      </c>
      <c r="E201">
        <v>2005</v>
      </c>
    </row>
    <row r="202" spans="4:5" x14ac:dyDescent="0.3">
      <c r="D202" s="3" t="s">
        <v>112</v>
      </c>
      <c r="E202">
        <v>2013</v>
      </c>
    </row>
    <row r="203" spans="4:5" x14ac:dyDescent="0.3">
      <c r="D203" s="3" t="s">
        <v>270</v>
      </c>
      <c r="E203">
        <v>1985</v>
      </c>
    </row>
    <row r="204" spans="4:5" x14ac:dyDescent="0.3">
      <c r="D204" s="3" t="s">
        <v>314</v>
      </c>
      <c r="E204">
        <v>2009</v>
      </c>
    </row>
    <row r="205" spans="4:5" x14ac:dyDescent="0.3">
      <c r="D205" s="3" t="s">
        <v>544</v>
      </c>
      <c r="E205">
        <v>2016</v>
      </c>
    </row>
    <row r="206" spans="4:5" x14ac:dyDescent="0.3">
      <c r="D206" s="3" t="s">
        <v>123</v>
      </c>
      <c r="E206">
        <v>2014</v>
      </c>
    </row>
    <row r="207" spans="4:5" x14ac:dyDescent="0.3">
      <c r="D207" s="3" t="s">
        <v>447</v>
      </c>
      <c r="E207">
        <v>1977</v>
      </c>
    </row>
    <row r="208" spans="4:5" x14ac:dyDescent="0.3">
      <c r="D208" s="3" t="s">
        <v>103</v>
      </c>
      <c r="E208">
        <v>2010</v>
      </c>
    </row>
    <row r="209" spans="4:5" x14ac:dyDescent="0.3">
      <c r="D209" s="3" t="s">
        <v>166</v>
      </c>
      <c r="E209">
        <v>2008</v>
      </c>
    </row>
    <row r="210" spans="4:5" x14ac:dyDescent="0.3">
      <c r="D210" s="3" t="s">
        <v>204</v>
      </c>
      <c r="E210">
        <v>2013</v>
      </c>
    </row>
    <row r="211" spans="4:5" x14ac:dyDescent="0.3">
      <c r="D211" s="3" t="s">
        <v>67</v>
      </c>
      <c r="E211">
        <v>2012</v>
      </c>
    </row>
    <row r="212" spans="4:5" x14ac:dyDescent="0.3">
      <c r="D212" s="3" t="s">
        <v>354</v>
      </c>
      <c r="E212">
        <v>2004</v>
      </c>
    </row>
    <row r="213" spans="4:5" x14ac:dyDescent="0.3">
      <c r="D213" s="3" t="s">
        <v>42</v>
      </c>
      <c r="E213">
        <v>2004</v>
      </c>
    </row>
    <row r="214" spans="4:5" x14ac:dyDescent="0.3">
      <c r="D214" s="3" t="s">
        <v>92</v>
      </c>
      <c r="E214">
        <v>2007</v>
      </c>
    </row>
    <row r="215" spans="4:5" x14ac:dyDescent="0.3">
      <c r="D215" s="3" t="s">
        <v>132</v>
      </c>
      <c r="E215">
        <v>1996</v>
      </c>
    </row>
    <row r="216" spans="4:5" x14ac:dyDescent="0.3">
      <c r="D216" s="3" t="s">
        <v>302</v>
      </c>
      <c r="E216">
        <v>2015</v>
      </c>
    </row>
    <row r="217" spans="4:5" x14ac:dyDescent="0.3">
      <c r="D217" s="3" t="s">
        <v>469</v>
      </c>
      <c r="E217">
        <v>2001</v>
      </c>
    </row>
    <row r="218" spans="4:5" x14ac:dyDescent="0.3">
      <c r="D218" s="3" t="s">
        <v>214</v>
      </c>
      <c r="E218">
        <v>2012</v>
      </c>
    </row>
    <row r="219" spans="4:5" x14ac:dyDescent="0.3">
      <c r="D219" s="3" t="s">
        <v>559</v>
      </c>
      <c r="E219">
        <v>2005</v>
      </c>
    </row>
    <row r="220" spans="4:5" x14ac:dyDescent="0.3">
      <c r="D220" s="3" t="s">
        <v>189</v>
      </c>
      <c r="E220">
        <v>2009</v>
      </c>
    </row>
    <row r="221" spans="4:5" x14ac:dyDescent="0.3">
      <c r="D221" s="3" t="s">
        <v>588</v>
      </c>
      <c r="E221">
        <v>2002</v>
      </c>
    </row>
    <row r="222" spans="4:5" x14ac:dyDescent="0.3">
      <c r="D222" s="3" t="s">
        <v>490</v>
      </c>
      <c r="E222">
        <v>2019</v>
      </c>
    </row>
    <row r="223" spans="4:5" x14ac:dyDescent="0.3">
      <c r="D223" s="3" t="s">
        <v>507</v>
      </c>
      <c r="E223">
        <v>2016</v>
      </c>
    </row>
    <row r="224" spans="4:5" x14ac:dyDescent="0.3">
      <c r="D224" s="3" t="s">
        <v>435</v>
      </c>
      <c r="E224">
        <v>1999</v>
      </c>
    </row>
    <row r="225" spans="4:5" x14ac:dyDescent="0.3">
      <c r="D225" s="3" t="s">
        <v>415</v>
      </c>
      <c r="E225">
        <v>2009</v>
      </c>
    </row>
    <row r="226" spans="4:5" x14ac:dyDescent="0.3">
      <c r="D226" s="3" t="s">
        <v>510</v>
      </c>
      <c r="E226">
        <v>2014</v>
      </c>
    </row>
    <row r="227" spans="4:5" x14ac:dyDescent="0.3">
      <c r="D227" s="3" t="s">
        <v>191</v>
      </c>
      <c r="E227">
        <v>2017</v>
      </c>
    </row>
    <row r="228" spans="4:5" x14ac:dyDescent="0.3">
      <c r="D228" s="3" t="s">
        <v>369</v>
      </c>
      <c r="E228">
        <v>2002</v>
      </c>
    </row>
    <row r="229" spans="4:5" x14ac:dyDescent="0.3">
      <c r="D229" s="3" t="s">
        <v>584</v>
      </c>
      <c r="E229">
        <v>2010</v>
      </c>
    </row>
    <row r="230" spans="4:5" x14ac:dyDescent="0.3">
      <c r="D230" s="3" t="s">
        <v>474</v>
      </c>
      <c r="E230">
        <v>2013</v>
      </c>
    </row>
    <row r="231" spans="4:5" x14ac:dyDescent="0.3">
      <c r="D231" s="3" t="s">
        <v>463</v>
      </c>
      <c r="E231">
        <v>1975</v>
      </c>
    </row>
    <row r="232" spans="4:5" x14ac:dyDescent="0.3">
      <c r="D232" s="3" t="s">
        <v>323</v>
      </c>
      <c r="E232">
        <v>2004</v>
      </c>
    </row>
    <row r="233" spans="4:5" x14ac:dyDescent="0.3">
      <c r="D233" s="3" t="s">
        <v>288</v>
      </c>
      <c r="E233">
        <v>1999</v>
      </c>
    </row>
    <row r="234" spans="4:5" x14ac:dyDescent="0.3">
      <c r="D234" s="3" t="s">
        <v>557</v>
      </c>
      <c r="E234">
        <v>1955</v>
      </c>
    </row>
    <row r="235" spans="4:5" x14ac:dyDescent="0.3">
      <c r="D235" s="3" t="s">
        <v>245</v>
      </c>
      <c r="E235">
        <v>2017</v>
      </c>
    </row>
    <row r="236" spans="4:5" x14ac:dyDescent="0.3">
      <c r="D236" s="3" t="s">
        <v>432</v>
      </c>
      <c r="E236">
        <v>2015</v>
      </c>
    </row>
    <row r="237" spans="4:5" x14ac:dyDescent="0.3">
      <c r="D237" s="3" t="s">
        <v>446</v>
      </c>
      <c r="E237">
        <v>2006</v>
      </c>
    </row>
    <row r="238" spans="4:5" x14ac:dyDescent="0.3">
      <c r="D238" s="3" t="s">
        <v>249</v>
      </c>
      <c r="E238">
        <v>2007</v>
      </c>
    </row>
    <row r="239" spans="4:5" x14ac:dyDescent="0.3">
      <c r="D239" s="3" t="s">
        <v>586</v>
      </c>
      <c r="E239">
        <v>1971</v>
      </c>
    </row>
    <row r="240" spans="4:5" x14ac:dyDescent="0.3">
      <c r="D240" s="3" t="s">
        <v>434</v>
      </c>
      <c r="E240">
        <v>1988</v>
      </c>
    </row>
    <row r="241" spans="4:5" x14ac:dyDescent="0.3">
      <c r="D241" s="3" t="s">
        <v>53</v>
      </c>
      <c r="E241">
        <v>2015</v>
      </c>
    </row>
    <row r="242" spans="4:5" x14ac:dyDescent="0.3">
      <c r="D242" s="3" t="s">
        <v>482</v>
      </c>
      <c r="E242">
        <v>1991</v>
      </c>
    </row>
    <row r="243" spans="4:5" x14ac:dyDescent="0.3">
      <c r="D243" s="3" t="s">
        <v>448</v>
      </c>
      <c r="E243">
        <v>2010</v>
      </c>
    </row>
    <row r="244" spans="4:5" x14ac:dyDescent="0.3">
      <c r="D244" s="3" t="s">
        <v>420</v>
      </c>
      <c r="E244">
        <v>2007</v>
      </c>
    </row>
    <row r="245" spans="4:5" x14ac:dyDescent="0.3">
      <c r="D245" s="3" t="s">
        <v>345</v>
      </c>
      <c r="E245">
        <v>2013</v>
      </c>
    </row>
    <row r="246" spans="4:5" x14ac:dyDescent="0.3">
      <c r="D246" s="3" t="s">
        <v>115</v>
      </c>
      <c r="E246">
        <v>2019</v>
      </c>
    </row>
    <row r="247" spans="4:5" x14ac:dyDescent="0.3">
      <c r="D247" s="3" t="s">
        <v>29</v>
      </c>
      <c r="E247">
        <v>2009</v>
      </c>
    </row>
    <row r="248" spans="4:5" x14ac:dyDescent="0.3">
      <c r="D248" s="3" t="s">
        <v>236</v>
      </c>
      <c r="E248">
        <v>2010</v>
      </c>
    </row>
    <row r="249" spans="4:5" x14ac:dyDescent="0.3">
      <c r="D249" s="3" t="s">
        <v>180</v>
      </c>
      <c r="E249">
        <v>2002</v>
      </c>
    </row>
    <row r="250" spans="4:5" x14ac:dyDescent="0.3">
      <c r="D250" s="3" t="s">
        <v>187</v>
      </c>
      <c r="E250">
        <v>2012</v>
      </c>
    </row>
    <row r="251" spans="4:5" x14ac:dyDescent="0.3">
      <c r="D251" s="3" t="s">
        <v>571</v>
      </c>
      <c r="E251">
        <v>2014</v>
      </c>
    </row>
    <row r="252" spans="4:5" x14ac:dyDescent="0.3">
      <c r="D252" s="3" t="s">
        <v>32</v>
      </c>
      <c r="E252">
        <v>2004</v>
      </c>
    </row>
    <row r="253" spans="4:5" x14ac:dyDescent="0.3">
      <c r="D253" s="3" t="s">
        <v>549</v>
      </c>
      <c r="E253">
        <v>2014</v>
      </c>
    </row>
    <row r="254" spans="4:5" x14ac:dyDescent="0.3">
      <c r="D254" s="3" t="s">
        <v>76</v>
      </c>
      <c r="E254">
        <v>2007</v>
      </c>
    </row>
    <row r="255" spans="4:5" x14ac:dyDescent="0.3">
      <c r="D255" s="3" t="s">
        <v>111</v>
      </c>
      <c r="E255">
        <v>2001</v>
      </c>
    </row>
    <row r="256" spans="4:5" x14ac:dyDescent="0.3">
      <c r="D256" s="3" t="s">
        <v>370</v>
      </c>
      <c r="E256">
        <v>2014</v>
      </c>
    </row>
    <row r="257" spans="4:5" x14ac:dyDescent="0.3">
      <c r="D257" s="3" t="s">
        <v>484</v>
      </c>
      <c r="E257">
        <v>2002</v>
      </c>
    </row>
    <row r="258" spans="4:5" x14ac:dyDescent="0.3">
      <c r="D258" s="3" t="s">
        <v>40</v>
      </c>
      <c r="E258">
        <v>2009</v>
      </c>
    </row>
    <row r="259" spans="4:5" x14ac:dyDescent="0.3">
      <c r="D259" s="3" t="s">
        <v>319</v>
      </c>
      <c r="E259">
        <v>2009</v>
      </c>
    </row>
    <row r="260" spans="4:5" x14ac:dyDescent="0.3">
      <c r="D260" s="3" t="s">
        <v>546</v>
      </c>
      <c r="E260">
        <v>2007</v>
      </c>
    </row>
    <row r="261" spans="4:5" x14ac:dyDescent="0.3">
      <c r="D261" s="3" t="s">
        <v>80</v>
      </c>
      <c r="E261">
        <v>2016</v>
      </c>
    </row>
    <row r="262" spans="4:5" x14ac:dyDescent="0.3">
      <c r="D262" s="3" t="s">
        <v>561</v>
      </c>
      <c r="E262">
        <v>2017</v>
      </c>
    </row>
    <row r="263" spans="4:5" x14ac:dyDescent="0.3">
      <c r="D263" s="3" t="s">
        <v>235</v>
      </c>
      <c r="E263">
        <v>2008</v>
      </c>
    </row>
    <row r="264" spans="4:5" x14ac:dyDescent="0.3">
      <c r="D264" s="3" t="s">
        <v>462</v>
      </c>
      <c r="E264">
        <v>2003</v>
      </c>
    </row>
    <row r="265" spans="4:5" x14ac:dyDescent="0.3">
      <c r="D265" s="3" t="s">
        <v>188</v>
      </c>
      <c r="E265">
        <v>2009</v>
      </c>
    </row>
    <row r="266" spans="4:5" x14ac:dyDescent="0.3">
      <c r="D266" s="3" t="s">
        <v>593</v>
      </c>
      <c r="E266">
        <v>1994</v>
      </c>
    </row>
    <row r="267" spans="4:5" x14ac:dyDescent="0.3">
      <c r="D267" s="3" t="s">
        <v>537</v>
      </c>
      <c r="E267">
        <v>1999</v>
      </c>
    </row>
    <row r="268" spans="4:5" x14ac:dyDescent="0.3">
      <c r="D268" s="3" t="s">
        <v>160</v>
      </c>
      <c r="E268">
        <v>2013</v>
      </c>
    </row>
    <row r="269" spans="4:5" x14ac:dyDescent="0.3">
      <c r="D269" s="3" t="s">
        <v>595</v>
      </c>
      <c r="E269">
        <v>1997</v>
      </c>
    </row>
    <row r="270" spans="4:5" x14ac:dyDescent="0.3">
      <c r="D270" s="3" t="s">
        <v>362</v>
      </c>
      <c r="E270">
        <v>2010</v>
      </c>
    </row>
    <row r="271" spans="4:5" x14ac:dyDescent="0.3">
      <c r="D271" s="3" t="s">
        <v>75</v>
      </c>
      <c r="E271">
        <v>2008</v>
      </c>
    </row>
    <row r="272" spans="4:5" x14ac:dyDescent="0.3">
      <c r="D272" s="3" t="s">
        <v>57</v>
      </c>
      <c r="E272">
        <v>2010</v>
      </c>
    </row>
    <row r="273" spans="4:5" x14ac:dyDescent="0.3">
      <c r="D273" s="3" t="s">
        <v>556</v>
      </c>
      <c r="E273">
        <v>2014</v>
      </c>
    </row>
    <row r="274" spans="4:5" x14ac:dyDescent="0.3">
      <c r="D274" s="3" t="s">
        <v>572</v>
      </c>
      <c r="E274">
        <v>2020</v>
      </c>
    </row>
    <row r="275" spans="4:5" x14ac:dyDescent="0.3">
      <c r="D275" s="3" t="s">
        <v>320</v>
      </c>
      <c r="E275">
        <v>2015</v>
      </c>
    </row>
    <row r="276" spans="4:5" x14ac:dyDescent="0.3">
      <c r="D276" s="3" t="s">
        <v>398</v>
      </c>
      <c r="E276">
        <v>2009</v>
      </c>
    </row>
    <row r="277" spans="4:5" x14ac:dyDescent="0.3">
      <c r="D277" s="3" t="s">
        <v>405</v>
      </c>
      <c r="E277">
        <v>1969</v>
      </c>
    </row>
    <row r="278" spans="4:5" x14ac:dyDescent="0.3">
      <c r="D278" s="3" t="s">
        <v>264</v>
      </c>
      <c r="E278">
        <v>2009</v>
      </c>
    </row>
    <row r="279" spans="4:5" x14ac:dyDescent="0.3">
      <c r="D279" s="3" t="s">
        <v>261</v>
      </c>
      <c r="E279">
        <v>2017</v>
      </c>
    </row>
    <row r="280" spans="4:5" x14ac:dyDescent="0.3">
      <c r="D280" s="3" t="s">
        <v>77</v>
      </c>
      <c r="E280">
        <v>2017</v>
      </c>
    </row>
    <row r="281" spans="4:5" x14ac:dyDescent="0.3">
      <c r="D281" s="3" t="s">
        <v>230</v>
      </c>
      <c r="E281">
        <v>2011</v>
      </c>
    </row>
    <row r="282" spans="4:5" x14ac:dyDescent="0.3">
      <c r="D282" s="3" t="s">
        <v>290</v>
      </c>
      <c r="E282">
        <v>2018</v>
      </c>
    </row>
    <row r="283" spans="4:5" x14ac:dyDescent="0.3">
      <c r="D283" s="3" t="s">
        <v>175</v>
      </c>
      <c r="E283">
        <v>2014</v>
      </c>
    </row>
    <row r="284" spans="4:5" x14ac:dyDescent="0.3">
      <c r="D284" s="3" t="s">
        <v>325</v>
      </c>
      <c r="E284">
        <v>2017</v>
      </c>
    </row>
    <row r="285" spans="4:5" x14ac:dyDescent="0.3">
      <c r="D285" s="3" t="s">
        <v>427</v>
      </c>
      <c r="E285">
        <v>2017</v>
      </c>
    </row>
    <row r="286" spans="4:5" x14ac:dyDescent="0.3">
      <c r="D286" s="3" t="s">
        <v>93</v>
      </c>
      <c r="E286">
        <v>2014</v>
      </c>
    </row>
    <row r="287" spans="4:5" x14ac:dyDescent="0.3">
      <c r="D287" s="3" t="s">
        <v>68</v>
      </c>
      <c r="E287">
        <v>1997</v>
      </c>
    </row>
    <row r="288" spans="4:5" x14ac:dyDescent="0.3">
      <c r="D288" s="3" t="s">
        <v>298</v>
      </c>
      <c r="E288">
        <v>2015</v>
      </c>
    </row>
    <row r="289" spans="4:5" x14ac:dyDescent="0.3">
      <c r="D289" s="3" t="s">
        <v>591</v>
      </c>
      <c r="E289">
        <v>1997</v>
      </c>
    </row>
    <row r="290" spans="4:5" x14ac:dyDescent="0.3">
      <c r="D290" s="3" t="s">
        <v>88</v>
      </c>
      <c r="E290">
        <v>2000</v>
      </c>
    </row>
    <row r="291" spans="4:5" x14ac:dyDescent="0.3">
      <c r="D291" s="3" t="s">
        <v>355</v>
      </c>
      <c r="E291">
        <v>2011</v>
      </c>
    </row>
    <row r="292" spans="4:5" x14ac:dyDescent="0.3">
      <c r="D292" s="3" t="s">
        <v>293</v>
      </c>
      <c r="E292">
        <v>2009</v>
      </c>
    </row>
    <row r="293" spans="4:5" x14ac:dyDescent="0.3">
      <c r="D293" s="3" t="s">
        <v>326</v>
      </c>
      <c r="E293">
        <v>2012</v>
      </c>
    </row>
    <row r="294" spans="4:5" x14ac:dyDescent="0.3">
      <c r="D294" s="3" t="s">
        <v>526</v>
      </c>
      <c r="E294">
        <v>1982</v>
      </c>
    </row>
    <row r="295" spans="4:5" x14ac:dyDescent="0.3">
      <c r="D295" s="3" t="s">
        <v>587</v>
      </c>
      <c r="E295">
        <v>1977</v>
      </c>
    </row>
    <row r="296" spans="4:5" x14ac:dyDescent="0.3">
      <c r="D296" s="3" t="s">
        <v>460</v>
      </c>
      <c r="E296">
        <v>2014</v>
      </c>
    </row>
    <row r="297" spans="4:5" x14ac:dyDescent="0.3">
      <c r="D297" s="3" t="s">
        <v>560</v>
      </c>
      <c r="E297">
        <v>2009</v>
      </c>
    </row>
    <row r="298" spans="4:5" x14ac:dyDescent="0.3">
      <c r="D298" s="3" t="s">
        <v>384</v>
      </c>
      <c r="E298">
        <v>1999</v>
      </c>
    </row>
    <row r="299" spans="4:5" x14ac:dyDescent="0.3">
      <c r="D299" s="3" t="s">
        <v>410</v>
      </c>
      <c r="E299">
        <v>1998</v>
      </c>
    </row>
    <row r="300" spans="4:5" x14ac:dyDescent="0.3">
      <c r="D300" s="3" t="s">
        <v>194</v>
      </c>
      <c r="E300">
        <v>1982</v>
      </c>
    </row>
    <row r="301" spans="4:5" x14ac:dyDescent="0.3">
      <c r="D301" s="3" t="s">
        <v>299</v>
      </c>
      <c r="E301">
        <v>2018</v>
      </c>
    </row>
    <row r="302" spans="4:5" x14ac:dyDescent="0.3">
      <c r="D302" s="3" t="s">
        <v>430</v>
      </c>
      <c r="E302">
        <v>2007</v>
      </c>
    </row>
    <row r="303" spans="4:5" x14ac:dyDescent="0.3">
      <c r="D303" s="3" t="s">
        <v>170</v>
      </c>
      <c r="E303">
        <v>2014</v>
      </c>
    </row>
    <row r="304" spans="4:5" x14ac:dyDescent="0.3">
      <c r="D304" s="3" t="s">
        <v>568</v>
      </c>
      <c r="E304">
        <v>2006</v>
      </c>
    </row>
    <row r="305" spans="4:5" x14ac:dyDescent="0.3">
      <c r="D305" s="3" t="s">
        <v>406</v>
      </c>
      <c r="E305">
        <v>2017</v>
      </c>
    </row>
    <row r="306" spans="4:5" x14ac:dyDescent="0.3">
      <c r="D306" s="3" t="s">
        <v>399</v>
      </c>
      <c r="E306">
        <v>2012</v>
      </c>
    </row>
    <row r="307" spans="4:5" x14ac:dyDescent="0.3">
      <c r="D307" s="3" t="s">
        <v>156</v>
      </c>
      <c r="E307">
        <v>2007</v>
      </c>
    </row>
    <row r="308" spans="4:5" x14ac:dyDescent="0.3">
      <c r="D308" s="3" t="s">
        <v>308</v>
      </c>
      <c r="E308">
        <v>2000</v>
      </c>
    </row>
    <row r="309" spans="4:5" x14ac:dyDescent="0.3">
      <c r="D309" s="3" t="s">
        <v>566</v>
      </c>
      <c r="E309">
        <v>2009</v>
      </c>
    </row>
    <row r="310" spans="4:5" x14ac:dyDescent="0.3">
      <c r="D310" s="3" t="s">
        <v>321</v>
      </c>
      <c r="E310">
        <v>1982</v>
      </c>
    </row>
    <row r="311" spans="4:5" x14ac:dyDescent="0.3">
      <c r="D311" s="3" t="s">
        <v>577</v>
      </c>
      <c r="E311">
        <v>1997</v>
      </c>
    </row>
    <row r="312" spans="4:5" x14ac:dyDescent="0.3">
      <c r="D312" s="3" t="s">
        <v>562</v>
      </c>
      <c r="E312">
        <v>2013</v>
      </c>
    </row>
    <row r="313" spans="4:5" x14ac:dyDescent="0.3">
      <c r="D313" s="3" t="s">
        <v>287</v>
      </c>
      <c r="E313">
        <v>2009</v>
      </c>
    </row>
    <row r="314" spans="4:5" x14ac:dyDescent="0.3">
      <c r="D314" s="3" t="s">
        <v>82</v>
      </c>
      <c r="E314">
        <v>2010</v>
      </c>
    </row>
    <row r="315" spans="4:5" x14ac:dyDescent="0.3">
      <c r="D315" s="3" t="s">
        <v>475</v>
      </c>
      <c r="E315">
        <v>2004</v>
      </c>
    </row>
    <row r="316" spans="4:5" x14ac:dyDescent="0.3">
      <c r="D316" s="3" t="s">
        <v>404</v>
      </c>
      <c r="E316">
        <v>1987</v>
      </c>
    </row>
    <row r="317" spans="4:5" x14ac:dyDescent="0.3">
      <c r="D317" s="3" t="s">
        <v>172</v>
      </c>
      <c r="E317">
        <v>2016</v>
      </c>
    </row>
    <row r="318" spans="4:5" x14ac:dyDescent="0.3">
      <c r="D318" s="3" t="s">
        <v>227</v>
      </c>
      <c r="E318">
        <v>2011</v>
      </c>
    </row>
    <row r="319" spans="4:5" x14ac:dyDescent="0.3">
      <c r="D319" s="3" t="s">
        <v>403</v>
      </c>
      <c r="E319">
        <v>1988</v>
      </c>
    </row>
    <row r="320" spans="4:5" x14ac:dyDescent="0.3">
      <c r="D320" s="3" t="s">
        <v>377</v>
      </c>
      <c r="E320">
        <v>2019</v>
      </c>
    </row>
    <row r="321" spans="4:5" x14ac:dyDescent="0.3">
      <c r="D321" s="3" t="s">
        <v>271</v>
      </c>
      <c r="E321">
        <v>1990</v>
      </c>
    </row>
    <row r="322" spans="4:5" x14ac:dyDescent="0.3">
      <c r="D322" s="3" t="s">
        <v>483</v>
      </c>
      <c r="E322">
        <v>2003</v>
      </c>
    </row>
    <row r="323" spans="4:5" x14ac:dyDescent="0.3">
      <c r="D323" s="3" t="s">
        <v>78</v>
      </c>
      <c r="E323">
        <v>2002</v>
      </c>
    </row>
    <row r="324" spans="4:5" x14ac:dyDescent="0.3">
      <c r="D324" s="3" t="s">
        <v>136</v>
      </c>
      <c r="E324">
        <v>2015</v>
      </c>
    </row>
    <row r="325" spans="4:5" x14ac:dyDescent="0.3">
      <c r="D325" s="3" t="s">
        <v>277</v>
      </c>
      <c r="E325">
        <v>2012</v>
      </c>
    </row>
    <row r="326" spans="4:5" x14ac:dyDescent="0.3">
      <c r="D326" s="3" t="s">
        <v>394</v>
      </c>
      <c r="E326">
        <v>2010</v>
      </c>
    </row>
    <row r="327" spans="4:5" x14ac:dyDescent="0.3">
      <c r="D327" s="3" t="s">
        <v>563</v>
      </c>
      <c r="E327">
        <v>2015</v>
      </c>
    </row>
    <row r="328" spans="4:5" x14ac:dyDescent="0.3">
      <c r="D328" s="3" t="s">
        <v>328</v>
      </c>
      <c r="E328">
        <v>2019</v>
      </c>
    </row>
    <row r="329" spans="4:5" x14ac:dyDescent="0.3">
      <c r="D329" s="3" t="s">
        <v>388</v>
      </c>
      <c r="E329">
        <v>2003</v>
      </c>
    </row>
    <row r="330" spans="4:5" x14ac:dyDescent="0.3">
      <c r="D330" s="3" t="s">
        <v>274</v>
      </c>
      <c r="E330">
        <v>2016</v>
      </c>
    </row>
    <row r="331" spans="4:5" x14ac:dyDescent="0.3">
      <c r="D331" s="3" t="s">
        <v>324</v>
      </c>
      <c r="E331">
        <v>2009</v>
      </c>
    </row>
    <row r="332" spans="4:5" x14ac:dyDescent="0.3">
      <c r="D332" s="3" t="s">
        <v>332</v>
      </c>
      <c r="E332">
        <v>2014</v>
      </c>
    </row>
    <row r="333" spans="4:5" x14ac:dyDescent="0.3">
      <c r="D333" s="3" t="s">
        <v>176</v>
      </c>
      <c r="E333">
        <v>1983</v>
      </c>
    </row>
    <row r="334" spans="4:5" x14ac:dyDescent="0.3">
      <c r="D334" s="3" t="s">
        <v>107</v>
      </c>
      <c r="E334">
        <v>2013</v>
      </c>
    </row>
    <row r="335" spans="4:5" x14ac:dyDescent="0.3">
      <c r="D335" s="3" t="s">
        <v>280</v>
      </c>
      <c r="E335">
        <v>2006</v>
      </c>
    </row>
    <row r="336" spans="4:5" x14ac:dyDescent="0.3">
      <c r="D336" s="3" t="s">
        <v>307</v>
      </c>
      <c r="E336">
        <v>2001</v>
      </c>
    </row>
    <row r="337" spans="4:5" x14ac:dyDescent="0.3">
      <c r="D337" s="3" t="s">
        <v>125</v>
      </c>
      <c r="E337">
        <v>1964</v>
      </c>
    </row>
    <row r="338" spans="4:5" x14ac:dyDescent="0.3">
      <c r="D338" s="3" t="s">
        <v>225</v>
      </c>
      <c r="E338">
        <v>2013</v>
      </c>
    </row>
    <row r="339" spans="4:5" x14ac:dyDescent="0.3">
      <c r="D339" s="3" t="s">
        <v>289</v>
      </c>
      <c r="E339">
        <v>2010</v>
      </c>
    </row>
    <row r="340" spans="4:5" x14ac:dyDescent="0.3">
      <c r="D340" s="3" t="s">
        <v>134</v>
      </c>
      <c r="E340">
        <v>2006</v>
      </c>
    </row>
    <row r="341" spans="4:5" x14ac:dyDescent="0.3">
      <c r="D341" s="3" t="s">
        <v>489</v>
      </c>
      <c r="E341">
        <v>2021</v>
      </c>
    </row>
    <row r="342" spans="4:5" x14ac:dyDescent="0.3">
      <c r="D342" s="3" t="s">
        <v>358</v>
      </c>
      <c r="E342">
        <v>2012</v>
      </c>
    </row>
    <row r="343" spans="4:5" x14ac:dyDescent="0.3">
      <c r="D343" s="3" t="s">
        <v>576</v>
      </c>
      <c r="E343">
        <v>2012</v>
      </c>
    </row>
    <row r="344" spans="4:5" x14ac:dyDescent="0.3">
      <c r="D344" s="3" t="s">
        <v>283</v>
      </c>
      <c r="E344">
        <v>2017</v>
      </c>
    </row>
    <row r="345" spans="4:5" x14ac:dyDescent="0.3">
      <c r="D345" s="3" t="s">
        <v>579</v>
      </c>
      <c r="E345">
        <v>2018</v>
      </c>
    </row>
    <row r="346" spans="4:5" x14ac:dyDescent="0.3">
      <c r="D346" s="3" t="s">
        <v>254</v>
      </c>
      <c r="E346">
        <v>2015</v>
      </c>
    </row>
    <row r="347" spans="4:5" x14ac:dyDescent="0.3">
      <c r="D347" s="3" t="s">
        <v>98</v>
      </c>
      <c r="E347">
        <v>2014</v>
      </c>
    </row>
    <row r="348" spans="4:5" x14ac:dyDescent="0.3">
      <c r="D348" s="3" t="s">
        <v>536</v>
      </c>
      <c r="E348">
        <v>2009</v>
      </c>
    </row>
    <row r="349" spans="4:5" x14ac:dyDescent="0.3">
      <c r="D349" s="3" t="s">
        <v>431</v>
      </c>
      <c r="E349">
        <v>1999</v>
      </c>
    </row>
    <row r="350" spans="4:5" x14ac:dyDescent="0.3">
      <c r="D350" s="3" t="s">
        <v>389</v>
      </c>
      <c r="E350">
        <v>2002</v>
      </c>
    </row>
    <row r="351" spans="4:5" x14ac:dyDescent="0.3">
      <c r="D351" s="3" t="s">
        <v>87</v>
      </c>
      <c r="E351">
        <v>2016</v>
      </c>
    </row>
    <row r="352" spans="4:5" x14ac:dyDescent="0.3">
      <c r="D352" s="3" t="s">
        <v>154</v>
      </c>
      <c r="E352">
        <v>2018</v>
      </c>
    </row>
    <row r="353" spans="4:5" x14ac:dyDescent="0.3">
      <c r="D353" s="3" t="s">
        <v>494</v>
      </c>
      <c r="E353">
        <v>1992</v>
      </c>
    </row>
    <row r="354" spans="4:5" x14ac:dyDescent="0.3">
      <c r="D354" s="3" t="s">
        <v>443</v>
      </c>
      <c r="E354">
        <v>2010</v>
      </c>
    </row>
    <row r="355" spans="4:5" x14ac:dyDescent="0.3">
      <c r="D355" s="3" t="s">
        <v>468</v>
      </c>
      <c r="E355">
        <v>2017</v>
      </c>
    </row>
    <row r="356" spans="4:5" x14ac:dyDescent="0.3">
      <c r="D356" s="3" t="s">
        <v>535</v>
      </c>
      <c r="E356">
        <v>2000</v>
      </c>
    </row>
    <row r="357" spans="4:5" x14ac:dyDescent="0.3">
      <c r="D357" s="3" t="s">
        <v>541</v>
      </c>
      <c r="E357">
        <v>2000</v>
      </c>
    </row>
    <row r="358" spans="4:5" x14ac:dyDescent="0.3">
      <c r="D358" s="3" t="s">
        <v>412</v>
      </c>
      <c r="E358">
        <v>2023</v>
      </c>
    </row>
    <row r="359" spans="4:5" x14ac:dyDescent="0.3">
      <c r="D359" s="3" t="s">
        <v>522</v>
      </c>
      <c r="E359">
        <v>2022</v>
      </c>
    </row>
    <row r="360" spans="4:5" x14ac:dyDescent="0.3">
      <c r="D360" s="3" t="s">
        <v>240</v>
      </c>
      <c r="E360">
        <v>2006</v>
      </c>
    </row>
    <row r="361" spans="4:5" x14ac:dyDescent="0.3">
      <c r="D361" s="3" t="s">
        <v>266</v>
      </c>
      <c r="E361">
        <v>2010</v>
      </c>
    </row>
    <row r="362" spans="4:5" x14ac:dyDescent="0.3">
      <c r="D362" s="3" t="s">
        <v>492</v>
      </c>
      <c r="E362">
        <v>2010</v>
      </c>
    </row>
    <row r="363" spans="4:5" x14ac:dyDescent="0.3">
      <c r="D363" s="3" t="s">
        <v>402</v>
      </c>
      <c r="E363">
        <v>1996</v>
      </c>
    </row>
    <row r="364" spans="4:5" x14ac:dyDescent="0.3">
      <c r="D364" s="3" t="s">
        <v>55</v>
      </c>
      <c r="E364">
        <v>2007</v>
      </c>
    </row>
    <row r="365" spans="4:5" x14ac:dyDescent="0.3">
      <c r="D365" s="3" t="s">
        <v>575</v>
      </c>
      <c r="E365">
        <v>2019</v>
      </c>
    </row>
    <row r="366" spans="4:5" x14ac:dyDescent="0.3">
      <c r="D366" s="3" t="s">
        <v>121</v>
      </c>
      <c r="E366">
        <v>1995</v>
      </c>
    </row>
    <row r="367" spans="4:5" x14ac:dyDescent="0.3">
      <c r="D367" s="3" t="s">
        <v>341</v>
      </c>
      <c r="E367">
        <v>2017</v>
      </c>
    </row>
    <row r="368" spans="4:5" x14ac:dyDescent="0.3">
      <c r="D368" s="3" t="s">
        <v>211</v>
      </c>
      <c r="E368">
        <v>1989</v>
      </c>
    </row>
    <row r="369" spans="4:5" x14ac:dyDescent="0.3">
      <c r="D369" s="3" t="s">
        <v>476</v>
      </c>
      <c r="E369">
        <v>2018</v>
      </c>
    </row>
    <row r="370" spans="4:5" x14ac:dyDescent="0.3">
      <c r="D370" s="3" t="s">
        <v>272</v>
      </c>
      <c r="E370">
        <v>2017</v>
      </c>
    </row>
    <row r="371" spans="4:5" x14ac:dyDescent="0.3">
      <c r="D371" s="3" t="s">
        <v>495</v>
      </c>
      <c r="E371">
        <v>2014</v>
      </c>
    </row>
    <row r="372" spans="4:5" x14ac:dyDescent="0.3">
      <c r="D372" s="3" t="s">
        <v>351</v>
      </c>
      <c r="E372">
        <v>1994</v>
      </c>
    </row>
    <row r="373" spans="4:5" x14ac:dyDescent="0.3">
      <c r="D373" s="3" t="s">
        <v>250</v>
      </c>
      <c r="E373">
        <v>2015</v>
      </c>
    </row>
    <row r="374" spans="4:5" x14ac:dyDescent="0.3">
      <c r="D374" s="3" t="s">
        <v>520</v>
      </c>
      <c r="E374">
        <v>2018</v>
      </c>
    </row>
    <row r="375" spans="4:5" x14ac:dyDescent="0.3">
      <c r="D375" s="3" t="s">
        <v>108</v>
      </c>
      <c r="E375">
        <v>2021</v>
      </c>
    </row>
    <row r="376" spans="4:5" x14ac:dyDescent="0.3">
      <c r="D376" s="3" t="s">
        <v>594</v>
      </c>
      <c r="E376">
        <v>2017</v>
      </c>
    </row>
    <row r="377" spans="4:5" x14ac:dyDescent="0.3">
      <c r="D377" s="3" t="s">
        <v>106</v>
      </c>
      <c r="E377">
        <v>2011</v>
      </c>
    </row>
    <row r="378" spans="4:5" x14ac:dyDescent="0.3">
      <c r="D378" s="3" t="s">
        <v>146</v>
      </c>
      <c r="E378">
        <v>2007</v>
      </c>
    </row>
    <row r="379" spans="4:5" x14ac:dyDescent="0.3">
      <c r="D379" s="3" t="s">
        <v>417</v>
      </c>
      <c r="E379">
        <v>2020</v>
      </c>
    </row>
    <row r="380" spans="4:5" x14ac:dyDescent="0.3">
      <c r="D380" s="3" t="s">
        <v>519</v>
      </c>
      <c r="E380">
        <v>2016</v>
      </c>
    </row>
    <row r="381" spans="4:5" x14ac:dyDescent="0.3">
      <c r="D381" s="3" t="s">
        <v>50</v>
      </c>
      <c r="E381">
        <v>2012</v>
      </c>
    </row>
    <row r="382" spans="4:5" x14ac:dyDescent="0.3">
      <c r="D382" s="3" t="s">
        <v>210</v>
      </c>
      <c r="E382">
        <v>2000</v>
      </c>
    </row>
    <row r="383" spans="4:5" x14ac:dyDescent="0.3">
      <c r="D383" s="3" t="s">
        <v>251</v>
      </c>
      <c r="E383">
        <v>2005</v>
      </c>
    </row>
    <row r="384" spans="4:5" x14ac:dyDescent="0.3">
      <c r="D384" s="3" t="s">
        <v>339</v>
      </c>
      <c r="E384">
        <v>2005</v>
      </c>
    </row>
    <row r="385" spans="4:5" x14ac:dyDescent="0.3">
      <c r="D385" s="3" t="s">
        <v>248</v>
      </c>
      <c r="E385">
        <v>2013</v>
      </c>
    </row>
    <row r="386" spans="4:5" x14ac:dyDescent="0.3">
      <c r="D386" s="3" t="s">
        <v>392</v>
      </c>
      <c r="E386">
        <v>2017</v>
      </c>
    </row>
    <row r="387" spans="4:5" x14ac:dyDescent="0.3">
      <c r="D387" s="3" t="s">
        <v>538</v>
      </c>
      <c r="E387">
        <v>1991</v>
      </c>
    </row>
    <row r="388" spans="4:5" x14ac:dyDescent="0.3">
      <c r="D388" s="3" t="s">
        <v>89</v>
      </c>
      <c r="E388">
        <v>2020</v>
      </c>
    </row>
    <row r="389" spans="4:5" x14ac:dyDescent="0.3">
      <c r="D389" s="3" t="s">
        <v>216</v>
      </c>
      <c r="E389">
        <v>2006</v>
      </c>
    </row>
    <row r="390" spans="4:5" x14ac:dyDescent="0.3">
      <c r="D390" s="3" t="s">
        <v>514</v>
      </c>
      <c r="E390">
        <v>1981</v>
      </c>
    </row>
    <row r="391" spans="4:5" x14ac:dyDescent="0.3">
      <c r="D391" s="3" t="s">
        <v>279</v>
      </c>
      <c r="E391">
        <v>1967</v>
      </c>
    </row>
    <row r="392" spans="4:5" x14ac:dyDescent="0.3">
      <c r="D392" s="3" t="s">
        <v>502</v>
      </c>
      <c r="E392">
        <v>2012</v>
      </c>
    </row>
    <row r="393" spans="4:5" x14ac:dyDescent="0.3">
      <c r="D393" s="3" t="s">
        <v>120</v>
      </c>
      <c r="E393">
        <v>2004</v>
      </c>
    </row>
    <row r="394" spans="4:5" x14ac:dyDescent="0.3">
      <c r="D394" s="3" t="s">
        <v>378</v>
      </c>
      <c r="E394">
        <v>2006</v>
      </c>
    </row>
    <row r="395" spans="4:5" x14ac:dyDescent="0.3">
      <c r="D395" s="3" t="s">
        <v>122</v>
      </c>
      <c r="E395">
        <v>2011</v>
      </c>
    </row>
    <row r="396" spans="4:5" x14ac:dyDescent="0.3">
      <c r="D396" s="3" t="s">
        <v>231</v>
      </c>
      <c r="E396">
        <v>2017</v>
      </c>
    </row>
    <row r="397" spans="4:5" x14ac:dyDescent="0.3">
      <c r="D397" s="3" t="s">
        <v>212</v>
      </c>
      <c r="E397">
        <v>2018</v>
      </c>
    </row>
    <row r="398" spans="4:5" x14ac:dyDescent="0.3">
      <c r="D398" s="3" t="s">
        <v>41</v>
      </c>
      <c r="E398">
        <v>2011</v>
      </c>
    </row>
    <row r="399" spans="4:5" x14ac:dyDescent="0.3">
      <c r="D399" s="3" t="s">
        <v>421</v>
      </c>
      <c r="E399">
        <v>2010</v>
      </c>
    </row>
    <row r="400" spans="4:5" x14ac:dyDescent="0.3">
      <c r="D400" s="3" t="s">
        <v>110</v>
      </c>
      <c r="E400">
        <v>2001</v>
      </c>
    </row>
    <row r="401" spans="4:5" x14ac:dyDescent="0.3">
      <c r="D401" s="3" t="s">
        <v>165</v>
      </c>
      <c r="E401">
        <v>2008</v>
      </c>
    </row>
    <row r="402" spans="4:5" x14ac:dyDescent="0.3">
      <c r="D402" s="3" t="s">
        <v>104</v>
      </c>
      <c r="E402">
        <v>1973</v>
      </c>
    </row>
    <row r="403" spans="4:5" x14ac:dyDescent="0.3">
      <c r="D403" s="3" t="s">
        <v>253</v>
      </c>
      <c r="E403">
        <v>2020</v>
      </c>
    </row>
    <row r="404" spans="4:5" x14ac:dyDescent="0.3">
      <c r="D404" s="3" t="s">
        <v>207</v>
      </c>
      <c r="E404">
        <v>1992</v>
      </c>
    </row>
    <row r="405" spans="4:5" x14ac:dyDescent="0.3">
      <c r="D405" s="3" t="s">
        <v>509</v>
      </c>
      <c r="E405">
        <v>2013</v>
      </c>
    </row>
    <row r="406" spans="4:5" x14ac:dyDescent="0.3">
      <c r="D406" s="3" t="s">
        <v>533</v>
      </c>
      <c r="E406">
        <v>2006</v>
      </c>
    </row>
    <row r="407" spans="4:5" x14ac:dyDescent="0.3">
      <c r="D407" s="3" t="s">
        <v>361</v>
      </c>
      <c r="E407">
        <v>1995</v>
      </c>
    </row>
    <row r="408" spans="4:5" x14ac:dyDescent="0.3">
      <c r="D408" s="3" t="s">
        <v>64</v>
      </c>
      <c r="E408">
        <v>2014</v>
      </c>
    </row>
    <row r="409" spans="4:5" x14ac:dyDescent="0.3">
      <c r="D409" s="3" t="s">
        <v>411</v>
      </c>
      <c r="E409">
        <v>2014</v>
      </c>
    </row>
    <row r="410" spans="4:5" x14ac:dyDescent="0.3">
      <c r="D410" s="3" t="s">
        <v>142</v>
      </c>
      <c r="E410">
        <v>1984</v>
      </c>
    </row>
    <row r="411" spans="4:5" x14ac:dyDescent="0.3">
      <c r="D411" s="3" t="s">
        <v>322</v>
      </c>
      <c r="E411">
        <v>2005</v>
      </c>
    </row>
    <row r="412" spans="4:5" x14ac:dyDescent="0.3">
      <c r="D412" s="3" t="s">
        <v>268</v>
      </c>
      <c r="E412">
        <v>2014</v>
      </c>
    </row>
    <row r="413" spans="4:5" x14ac:dyDescent="0.3">
      <c r="D413" s="3" t="s">
        <v>527</v>
      </c>
      <c r="E413">
        <v>2015</v>
      </c>
    </row>
    <row r="414" spans="4:5" x14ac:dyDescent="0.3">
      <c r="D414" s="3" t="s">
        <v>524</v>
      </c>
      <c r="E414">
        <v>1985</v>
      </c>
    </row>
    <row r="415" spans="4:5" x14ac:dyDescent="0.3">
      <c r="D415" s="3" t="s">
        <v>334</v>
      </c>
      <c r="E415">
        <v>2006</v>
      </c>
    </row>
    <row r="416" spans="4:5" x14ac:dyDescent="0.3">
      <c r="D416" s="3" t="s">
        <v>36</v>
      </c>
      <c r="E416">
        <v>2005</v>
      </c>
    </row>
    <row r="417" spans="4:5" x14ac:dyDescent="0.3">
      <c r="D417" s="3" t="s">
        <v>545</v>
      </c>
      <c r="E417">
        <v>2012</v>
      </c>
    </row>
    <row r="418" spans="4:5" x14ac:dyDescent="0.3">
      <c r="D418" s="3" t="s">
        <v>312</v>
      </c>
      <c r="E418">
        <v>2014</v>
      </c>
    </row>
    <row r="419" spans="4:5" x14ac:dyDescent="0.3">
      <c r="D419" s="3" t="s">
        <v>503</v>
      </c>
      <c r="E419">
        <v>2015</v>
      </c>
    </row>
    <row r="420" spans="4:5" x14ac:dyDescent="0.3">
      <c r="D420" s="3" t="s">
        <v>269</v>
      </c>
      <c r="E420">
        <v>2017</v>
      </c>
    </row>
    <row r="421" spans="4:5" x14ac:dyDescent="0.3">
      <c r="D421" s="3" t="s">
        <v>151</v>
      </c>
      <c r="E421">
        <v>2011</v>
      </c>
    </row>
    <row r="422" spans="4:5" x14ac:dyDescent="0.3">
      <c r="D422" s="3" t="s">
        <v>242</v>
      </c>
      <c r="E422">
        <v>2016</v>
      </c>
    </row>
    <row r="423" spans="4:5" x14ac:dyDescent="0.3">
      <c r="D423" s="3" t="s">
        <v>508</v>
      </c>
      <c r="E423">
        <v>2011</v>
      </c>
    </row>
    <row r="424" spans="4:5" x14ac:dyDescent="0.3">
      <c r="D424" s="3" t="s">
        <v>540</v>
      </c>
      <c r="E424">
        <v>2017</v>
      </c>
    </row>
    <row r="425" spans="4:5" x14ac:dyDescent="0.3">
      <c r="D425" s="3" t="s">
        <v>578</v>
      </c>
      <c r="E425">
        <v>2008</v>
      </c>
    </row>
    <row r="426" spans="4:5" x14ac:dyDescent="0.3">
      <c r="D426" s="3" t="s">
        <v>126</v>
      </c>
      <c r="E426">
        <v>2014</v>
      </c>
    </row>
    <row r="427" spans="4:5" x14ac:dyDescent="0.3">
      <c r="D427" s="3" t="s">
        <v>466</v>
      </c>
      <c r="E427">
        <v>2009</v>
      </c>
    </row>
    <row r="428" spans="4:5" x14ac:dyDescent="0.3">
      <c r="D428" s="3" t="s">
        <v>105</v>
      </c>
      <c r="E428">
        <v>2012</v>
      </c>
    </row>
    <row r="429" spans="4:5" x14ac:dyDescent="0.3">
      <c r="D429" s="3" t="s">
        <v>528</v>
      </c>
      <c r="E429">
        <v>2008</v>
      </c>
    </row>
    <row r="430" spans="4:5" x14ac:dyDescent="0.3">
      <c r="D430" s="3" t="s">
        <v>183</v>
      </c>
      <c r="E430">
        <v>1996</v>
      </c>
    </row>
    <row r="431" spans="4:5" x14ac:dyDescent="0.3">
      <c r="D431" s="3" t="s">
        <v>199</v>
      </c>
      <c r="E431">
        <v>2013</v>
      </c>
    </row>
    <row r="432" spans="4:5" x14ac:dyDescent="0.3">
      <c r="D432" s="3" t="s">
        <v>162</v>
      </c>
      <c r="E432">
        <v>2014</v>
      </c>
    </row>
    <row r="433" spans="4:5" x14ac:dyDescent="0.3">
      <c r="D433" s="3" t="s">
        <v>117</v>
      </c>
      <c r="E433">
        <v>2008</v>
      </c>
    </row>
    <row r="434" spans="4:5" x14ac:dyDescent="0.3">
      <c r="D434" s="3" t="s">
        <v>470</v>
      </c>
      <c r="E434">
        <v>2015</v>
      </c>
    </row>
    <row r="435" spans="4:5" x14ac:dyDescent="0.3">
      <c r="D435" s="3" t="s">
        <v>423</v>
      </c>
      <c r="E435">
        <v>2011</v>
      </c>
    </row>
    <row r="436" spans="4:5" x14ac:dyDescent="0.3">
      <c r="D436" s="3" t="s">
        <v>97</v>
      </c>
      <c r="E436">
        <v>1991</v>
      </c>
    </row>
    <row r="437" spans="4:5" x14ac:dyDescent="0.3">
      <c r="D437" s="3" t="s">
        <v>102</v>
      </c>
      <c r="E437">
        <v>2014</v>
      </c>
    </row>
    <row r="438" spans="4:5" x14ac:dyDescent="0.3">
      <c r="D438" s="3" t="s">
        <v>221</v>
      </c>
      <c r="E438">
        <v>2002</v>
      </c>
    </row>
    <row r="439" spans="4:5" x14ac:dyDescent="0.3">
      <c r="D439" s="3" t="s">
        <v>94</v>
      </c>
      <c r="E439">
        <v>1997</v>
      </c>
    </row>
    <row r="440" spans="4:5" x14ac:dyDescent="0.3">
      <c r="D440" s="3" t="s">
        <v>346</v>
      </c>
      <c r="E440">
        <v>2010</v>
      </c>
    </row>
    <row r="441" spans="4:5" x14ac:dyDescent="0.3">
      <c r="D441" s="3" t="s">
        <v>353</v>
      </c>
      <c r="E441">
        <v>1999</v>
      </c>
    </row>
    <row r="442" spans="4:5" x14ac:dyDescent="0.3">
      <c r="D442" s="3" t="s">
        <v>150</v>
      </c>
      <c r="E442">
        <v>1993</v>
      </c>
    </row>
    <row r="443" spans="4:5" x14ac:dyDescent="0.3">
      <c r="D443" s="3" t="s">
        <v>379</v>
      </c>
      <c r="E443">
        <v>2015</v>
      </c>
    </row>
    <row r="444" spans="4:5" x14ac:dyDescent="0.3">
      <c r="D444" s="3" t="s">
        <v>481</v>
      </c>
      <c r="E444">
        <v>1962</v>
      </c>
    </row>
    <row r="445" spans="4:5" x14ac:dyDescent="0.3">
      <c r="D445" s="3" t="s">
        <v>238</v>
      </c>
      <c r="E445">
        <v>2018</v>
      </c>
    </row>
    <row r="446" spans="4:5" x14ac:dyDescent="0.3">
      <c r="D446" s="3" t="s">
        <v>368</v>
      </c>
      <c r="E446">
        <v>2018</v>
      </c>
    </row>
    <row r="447" spans="4:5" x14ac:dyDescent="0.3">
      <c r="D447" s="3" t="s">
        <v>220</v>
      </c>
      <c r="E447">
        <v>2010</v>
      </c>
    </row>
    <row r="448" spans="4:5" x14ac:dyDescent="0.3">
      <c r="D448" s="3" t="s">
        <v>291</v>
      </c>
      <c r="E448">
        <v>1998</v>
      </c>
    </row>
    <row r="449" spans="4:5" x14ac:dyDescent="0.3">
      <c r="D449" s="3" t="s">
        <v>70</v>
      </c>
      <c r="E449">
        <v>2012</v>
      </c>
    </row>
    <row r="450" spans="4:5" x14ac:dyDescent="0.3">
      <c r="D450" s="3" t="s">
        <v>437</v>
      </c>
      <c r="E450">
        <v>2001</v>
      </c>
    </row>
    <row r="451" spans="4:5" x14ac:dyDescent="0.3">
      <c r="D451" s="3" t="s">
        <v>359</v>
      </c>
      <c r="E451">
        <v>2006</v>
      </c>
    </row>
    <row r="452" spans="4:5" x14ac:dyDescent="0.3">
      <c r="D452" s="3" t="s">
        <v>252</v>
      </c>
      <c r="E452">
        <v>2008</v>
      </c>
    </row>
    <row r="453" spans="4:5" x14ac:dyDescent="0.3">
      <c r="D453" s="3" t="s">
        <v>457</v>
      </c>
      <c r="E453">
        <v>2015</v>
      </c>
    </row>
    <row r="454" spans="4:5" x14ac:dyDescent="0.3">
      <c r="D454" s="3" t="s">
        <v>174</v>
      </c>
      <c r="E454">
        <v>2017</v>
      </c>
    </row>
    <row r="455" spans="4:5" x14ac:dyDescent="0.3">
      <c r="D455" s="3" t="s">
        <v>20</v>
      </c>
      <c r="E455">
        <v>2006</v>
      </c>
    </row>
    <row r="456" spans="4:5" x14ac:dyDescent="0.3">
      <c r="D456" s="3" t="s">
        <v>433</v>
      </c>
      <c r="E456">
        <v>2019</v>
      </c>
    </row>
    <row r="457" spans="4:5" x14ac:dyDescent="0.3">
      <c r="D457" s="3" t="s">
        <v>376</v>
      </c>
      <c r="E457">
        <v>2012</v>
      </c>
    </row>
    <row r="458" spans="4:5" x14ac:dyDescent="0.3">
      <c r="D458" s="3" t="s">
        <v>119</v>
      </c>
      <c r="E458">
        <v>1962</v>
      </c>
    </row>
    <row r="459" spans="4:5" x14ac:dyDescent="0.3">
      <c r="D459" s="3" t="s">
        <v>135</v>
      </c>
      <c r="E459">
        <v>2012</v>
      </c>
    </row>
    <row r="460" spans="4:5" x14ac:dyDescent="0.3">
      <c r="D460" s="3" t="s">
        <v>589</v>
      </c>
      <c r="E460">
        <v>1979</v>
      </c>
    </row>
    <row r="461" spans="4:5" x14ac:dyDescent="0.3">
      <c r="D461" s="3" t="s">
        <v>226</v>
      </c>
      <c r="E461">
        <v>2018</v>
      </c>
    </row>
    <row r="462" spans="4:5" x14ac:dyDescent="0.3">
      <c r="D462" s="3" t="s">
        <v>366</v>
      </c>
      <c r="E462">
        <v>2004</v>
      </c>
    </row>
    <row r="463" spans="4:5" x14ac:dyDescent="0.3">
      <c r="D463" s="3" t="s">
        <v>416</v>
      </c>
      <c r="E463">
        <v>2012</v>
      </c>
    </row>
    <row r="464" spans="4:5" x14ac:dyDescent="0.3">
      <c r="D464" s="3" t="s">
        <v>590</v>
      </c>
      <c r="E464">
        <v>2017</v>
      </c>
    </row>
    <row r="465" spans="4:5" x14ac:dyDescent="0.3">
      <c r="D465" s="3" t="s">
        <v>164</v>
      </c>
      <c r="E465">
        <v>2011</v>
      </c>
    </row>
    <row r="466" spans="4:5" x14ac:dyDescent="0.3">
      <c r="D466" s="3" t="s">
        <v>357</v>
      </c>
      <c r="E466">
        <v>1993</v>
      </c>
    </row>
    <row r="467" spans="4:5" x14ac:dyDescent="0.3">
      <c r="D467" s="3" t="s">
        <v>485</v>
      </c>
      <c r="E467">
        <v>1989</v>
      </c>
    </row>
    <row r="468" spans="4:5" x14ac:dyDescent="0.3">
      <c r="D468" s="3" t="s">
        <v>513</v>
      </c>
      <c r="E468">
        <v>1977</v>
      </c>
    </row>
    <row r="469" spans="4:5" x14ac:dyDescent="0.3">
      <c r="D469" s="3" t="s">
        <v>310</v>
      </c>
      <c r="E469">
        <v>1964</v>
      </c>
    </row>
    <row r="470" spans="4:5" x14ac:dyDescent="0.3">
      <c r="D470" s="3" t="s">
        <v>471</v>
      </c>
      <c r="E470">
        <v>2008</v>
      </c>
    </row>
    <row r="471" spans="4:5" x14ac:dyDescent="0.3">
      <c r="D471" s="3" t="s">
        <v>511</v>
      </c>
      <c r="E471">
        <v>1983</v>
      </c>
    </row>
    <row r="472" spans="4:5" x14ac:dyDescent="0.3">
      <c r="D472" s="3" t="s">
        <v>515</v>
      </c>
      <c r="E472">
        <v>2001</v>
      </c>
    </row>
    <row r="473" spans="4:5" x14ac:dyDescent="0.3">
      <c r="D473" s="3" t="s">
        <v>27</v>
      </c>
      <c r="E473">
        <v>2009</v>
      </c>
    </row>
    <row r="474" spans="4:5" x14ac:dyDescent="0.3">
      <c r="D474" s="3" t="s">
        <v>567</v>
      </c>
      <c r="E474">
        <v>2012</v>
      </c>
    </row>
    <row r="475" spans="4:5" x14ac:dyDescent="0.3">
      <c r="D475" s="3" t="s">
        <v>497</v>
      </c>
      <c r="E475">
        <v>2003</v>
      </c>
    </row>
    <row r="476" spans="4:5" x14ac:dyDescent="0.3">
      <c r="D476" s="3" t="s">
        <v>181</v>
      </c>
      <c r="E476">
        <v>1994</v>
      </c>
    </row>
    <row r="477" spans="4:5" x14ac:dyDescent="0.3">
      <c r="D477" s="3" t="s">
        <v>564</v>
      </c>
      <c r="E477">
        <v>2018</v>
      </c>
    </row>
    <row r="478" spans="4:5" x14ac:dyDescent="0.3">
      <c r="D478" s="3" t="s">
        <v>414</v>
      </c>
      <c r="E478">
        <v>1997</v>
      </c>
    </row>
    <row r="479" spans="4:5" x14ac:dyDescent="0.3">
      <c r="D479" s="3" t="s">
        <v>472</v>
      </c>
      <c r="E479">
        <v>2016</v>
      </c>
    </row>
    <row r="480" spans="4:5" x14ac:dyDescent="0.3">
      <c r="D480" s="3" t="s">
        <v>256</v>
      </c>
      <c r="E480">
        <v>2023</v>
      </c>
    </row>
    <row r="481" spans="4:5" x14ac:dyDescent="0.3">
      <c r="D481" s="3" t="s">
        <v>565</v>
      </c>
      <c r="E481">
        <v>2012</v>
      </c>
    </row>
    <row r="482" spans="4:5" x14ac:dyDescent="0.3">
      <c r="D482" s="3" t="s">
        <v>581</v>
      </c>
      <c r="E482">
        <v>2019</v>
      </c>
    </row>
    <row r="483" spans="4:5" x14ac:dyDescent="0.3">
      <c r="D483" s="3" t="s">
        <v>215</v>
      </c>
      <c r="E483">
        <v>2009</v>
      </c>
    </row>
    <row r="484" spans="4:5" x14ac:dyDescent="0.3">
      <c r="D484" s="3" t="s">
        <v>452</v>
      </c>
      <c r="E484">
        <v>2006</v>
      </c>
    </row>
    <row r="485" spans="4:5" x14ac:dyDescent="0.3">
      <c r="D485" s="3" t="s">
        <v>344</v>
      </c>
      <c r="E485">
        <v>2005</v>
      </c>
    </row>
    <row r="486" spans="4:5" x14ac:dyDescent="0.3">
      <c r="D486" s="3" t="s">
        <v>31</v>
      </c>
      <c r="E486">
        <v>2013</v>
      </c>
    </row>
    <row r="487" spans="4:5" x14ac:dyDescent="0.3">
      <c r="D487" s="3" t="s">
        <v>173</v>
      </c>
      <c r="E487">
        <v>2016</v>
      </c>
    </row>
    <row r="488" spans="4:5" x14ac:dyDescent="0.3">
      <c r="D488" s="3" t="s">
        <v>381</v>
      </c>
      <c r="E488">
        <v>2006</v>
      </c>
    </row>
    <row r="489" spans="4:5" x14ac:dyDescent="0.3">
      <c r="D489" s="3" t="s">
        <v>456</v>
      </c>
      <c r="E489">
        <v>2010</v>
      </c>
    </row>
    <row r="490" spans="4:5" x14ac:dyDescent="0.3">
      <c r="D490" s="3" t="s">
        <v>138</v>
      </c>
      <c r="E490">
        <v>2009</v>
      </c>
    </row>
    <row r="491" spans="4:5" x14ac:dyDescent="0.3">
      <c r="D491" s="3" t="s">
        <v>303</v>
      </c>
      <c r="E491">
        <v>2015</v>
      </c>
    </row>
    <row r="492" spans="4:5" x14ac:dyDescent="0.3">
      <c r="D492" s="3" t="s">
        <v>118</v>
      </c>
      <c r="E492">
        <v>2011</v>
      </c>
    </row>
    <row r="493" spans="4:5" x14ac:dyDescent="0.3">
      <c r="D493" s="3" t="s">
        <v>186</v>
      </c>
      <c r="E493">
        <v>2008</v>
      </c>
    </row>
    <row r="494" spans="4:5" x14ac:dyDescent="0.3">
      <c r="D494" s="3" t="s">
        <v>116</v>
      </c>
      <c r="E494">
        <v>2009</v>
      </c>
    </row>
    <row r="495" spans="4:5" x14ac:dyDescent="0.3">
      <c r="D495" s="3" t="s">
        <v>373</v>
      </c>
      <c r="E495">
        <v>1979</v>
      </c>
    </row>
    <row r="496" spans="4:5" x14ac:dyDescent="0.3">
      <c r="D496" s="3" t="s">
        <v>500</v>
      </c>
      <c r="E496">
        <v>1980</v>
      </c>
    </row>
    <row r="497" spans="4:5" x14ac:dyDescent="0.3">
      <c r="D497" s="3" t="s">
        <v>178</v>
      </c>
      <c r="E497">
        <v>1994</v>
      </c>
    </row>
    <row r="498" spans="4:5" x14ac:dyDescent="0.3">
      <c r="D498" s="3" t="s">
        <v>504</v>
      </c>
      <c r="E498">
        <v>2013</v>
      </c>
    </row>
    <row r="499" spans="4:5" x14ac:dyDescent="0.3">
      <c r="D499" s="3" t="s">
        <v>496</v>
      </c>
      <c r="E499">
        <v>1966</v>
      </c>
    </row>
    <row r="500" spans="4:5" x14ac:dyDescent="0.3">
      <c r="D500" s="3" t="s">
        <v>391</v>
      </c>
      <c r="E500">
        <v>1999</v>
      </c>
    </row>
    <row r="501" spans="4:5" x14ac:dyDescent="0.3">
      <c r="D501" s="3" t="s">
        <v>542</v>
      </c>
      <c r="E501">
        <v>2003</v>
      </c>
    </row>
    <row r="502" spans="4:5" x14ac:dyDescent="0.3">
      <c r="D502" s="3" t="s">
        <v>451</v>
      </c>
      <c r="E502">
        <v>1985</v>
      </c>
    </row>
    <row r="503" spans="4:5" x14ac:dyDescent="0.3">
      <c r="D503" s="3" t="s">
        <v>286</v>
      </c>
      <c r="E503">
        <v>2000</v>
      </c>
    </row>
    <row r="504" spans="4:5" x14ac:dyDescent="0.3">
      <c r="D504" s="3" t="s">
        <v>281</v>
      </c>
      <c r="E504">
        <v>1998</v>
      </c>
    </row>
    <row r="505" spans="4:5" x14ac:dyDescent="0.3">
      <c r="D505" s="3" t="s">
        <v>124</v>
      </c>
      <c r="E505">
        <v>2006</v>
      </c>
    </row>
    <row r="506" spans="4:5" x14ac:dyDescent="0.3">
      <c r="D506" s="3" t="s">
        <v>348</v>
      </c>
      <c r="E506">
        <v>2011</v>
      </c>
    </row>
    <row r="507" spans="4:5" x14ac:dyDescent="0.3">
      <c r="D507" s="3" t="s">
        <v>66</v>
      </c>
      <c r="E507">
        <v>2013</v>
      </c>
    </row>
    <row r="508" spans="4:5" x14ac:dyDescent="0.3">
      <c r="D508" s="3" t="s">
        <v>296</v>
      </c>
      <c r="E508">
        <v>2003</v>
      </c>
    </row>
    <row r="509" spans="4:5" x14ac:dyDescent="0.3">
      <c r="D509" s="3" t="s">
        <v>393</v>
      </c>
      <c r="E509">
        <v>2015</v>
      </c>
    </row>
    <row r="510" spans="4:5" x14ac:dyDescent="0.3">
      <c r="D510" s="3" t="s">
        <v>425</v>
      </c>
      <c r="E510">
        <v>2008</v>
      </c>
    </row>
    <row r="511" spans="4:5" x14ac:dyDescent="0.3">
      <c r="D511" s="3" t="s">
        <v>585</v>
      </c>
      <c r="E511">
        <v>2017</v>
      </c>
    </row>
    <row r="512" spans="4:5" x14ac:dyDescent="0.3">
      <c r="D512" s="3" t="s">
        <v>100</v>
      </c>
      <c r="E512">
        <v>2011</v>
      </c>
    </row>
    <row r="513" spans="4:5" x14ac:dyDescent="0.3">
      <c r="D513" s="3" t="s">
        <v>155</v>
      </c>
      <c r="E513">
        <v>2015</v>
      </c>
    </row>
    <row r="514" spans="4:5" x14ac:dyDescent="0.3">
      <c r="D514" s="3" t="s">
        <v>360</v>
      </c>
      <c r="E514">
        <v>2011</v>
      </c>
    </row>
    <row r="515" spans="4:5" x14ac:dyDescent="0.3">
      <c r="D515" s="3" t="s">
        <v>159</v>
      </c>
      <c r="E515">
        <v>2019</v>
      </c>
    </row>
    <row r="516" spans="4:5" x14ac:dyDescent="0.3">
      <c r="D516" s="3" t="s">
        <v>255</v>
      </c>
      <c r="E516">
        <v>2008</v>
      </c>
    </row>
    <row r="517" spans="4:5" x14ac:dyDescent="0.3">
      <c r="D517" s="3" t="s">
        <v>306</v>
      </c>
      <c r="E517">
        <v>2010</v>
      </c>
    </row>
    <row r="518" spans="4:5" x14ac:dyDescent="0.3">
      <c r="D518" s="3" t="s">
        <v>337</v>
      </c>
      <c r="E518">
        <v>2010</v>
      </c>
    </row>
    <row r="519" spans="4:5" x14ac:dyDescent="0.3">
      <c r="D519" s="3" t="s">
        <v>539</v>
      </c>
      <c r="E519">
        <v>2004</v>
      </c>
    </row>
    <row r="520" spans="4:5" x14ac:dyDescent="0.3">
      <c r="D520" s="3" t="s">
        <v>300</v>
      </c>
      <c r="E520">
        <v>2000</v>
      </c>
    </row>
    <row r="521" spans="4:5" x14ac:dyDescent="0.3">
      <c r="D521" s="3" t="s">
        <v>600</v>
      </c>
      <c r="E521">
        <v>1002673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B21F8-6500-4C7C-8735-3B5B76D9C4AE}">
  <dimension ref="A1:B517"/>
  <sheetViews>
    <sheetView zoomScale="44" workbookViewId="0"/>
  </sheetViews>
  <sheetFormatPr defaultRowHeight="14.4" x14ac:dyDescent="0.3"/>
  <cols>
    <col min="1" max="1" width="36" bestFit="1" customWidth="1"/>
    <col min="2" max="2" width="42.33203125" bestFit="1" customWidth="1"/>
  </cols>
  <sheetData>
    <row r="1" spans="1:2" x14ac:dyDescent="0.3">
      <c r="A1" s="2" t="s">
        <v>599</v>
      </c>
      <c r="B1" t="s">
        <v>596</v>
      </c>
    </row>
    <row r="2" spans="1:2" x14ac:dyDescent="0.3">
      <c r="A2" s="3" t="s">
        <v>17</v>
      </c>
      <c r="B2">
        <v>6055232.700000002</v>
      </c>
    </row>
    <row r="3" spans="1:2" x14ac:dyDescent="0.3">
      <c r="A3" s="3" t="s">
        <v>258</v>
      </c>
      <c r="B3">
        <v>41569.9</v>
      </c>
    </row>
    <row r="4" spans="1:2" x14ac:dyDescent="0.3">
      <c r="A4" s="3" t="s">
        <v>130</v>
      </c>
      <c r="B4">
        <v>81201.2</v>
      </c>
    </row>
    <row r="5" spans="1:2" x14ac:dyDescent="0.3">
      <c r="A5" s="3" t="s">
        <v>73</v>
      </c>
      <c r="B5">
        <v>157453.1</v>
      </c>
    </row>
    <row r="6" spans="1:2" x14ac:dyDescent="0.3">
      <c r="A6" s="3" t="s">
        <v>408</v>
      </c>
      <c r="B6">
        <v>26576.399999999998</v>
      </c>
    </row>
    <row r="7" spans="1:2" x14ac:dyDescent="0.3">
      <c r="A7" s="3" t="s">
        <v>47</v>
      </c>
      <c r="B7">
        <v>157338.70000000001</v>
      </c>
    </row>
    <row r="8" spans="1:2" x14ac:dyDescent="0.3">
      <c r="A8" s="3" t="s">
        <v>168</v>
      </c>
      <c r="B8">
        <v>164438.99999999997</v>
      </c>
    </row>
    <row r="9" spans="1:2" x14ac:dyDescent="0.3">
      <c r="A9" s="3" t="s">
        <v>550</v>
      </c>
      <c r="B9">
        <v>7550.3</v>
      </c>
    </row>
    <row r="10" spans="1:2" x14ac:dyDescent="0.3">
      <c r="A10" s="3" t="s">
        <v>25</v>
      </c>
      <c r="B10">
        <v>1679371.0999999996</v>
      </c>
    </row>
    <row r="11" spans="1:2" x14ac:dyDescent="0.3">
      <c r="A11" s="3" t="s">
        <v>233</v>
      </c>
      <c r="B11">
        <v>30138.199999999997</v>
      </c>
    </row>
    <row r="12" spans="1:2" x14ac:dyDescent="0.3">
      <c r="A12" s="3" t="s">
        <v>518</v>
      </c>
      <c r="B12">
        <v>7934.5</v>
      </c>
    </row>
    <row r="13" spans="1:2" x14ac:dyDescent="0.3">
      <c r="A13" s="3" t="s">
        <v>600</v>
      </c>
      <c r="B13">
        <v>8408805.1000000015</v>
      </c>
    </row>
    <row r="16" spans="1:2" x14ac:dyDescent="0.3">
      <c r="A16" s="2" t="s">
        <v>599</v>
      </c>
      <c r="B16" t="s">
        <v>596</v>
      </c>
    </row>
    <row r="17" spans="1:2" x14ac:dyDescent="0.3">
      <c r="A17" s="3" t="s">
        <v>14</v>
      </c>
      <c r="B17">
        <v>137492.1</v>
      </c>
    </row>
    <row r="18" spans="1:2" x14ac:dyDescent="0.3">
      <c r="A18" s="3" t="s">
        <v>20</v>
      </c>
      <c r="B18">
        <v>127861</v>
      </c>
    </row>
    <row r="19" spans="1:2" x14ac:dyDescent="0.3">
      <c r="A19" s="3" t="s">
        <v>24</v>
      </c>
      <c r="B19">
        <v>125899.8</v>
      </c>
    </row>
    <row r="20" spans="1:2" x14ac:dyDescent="0.3">
      <c r="A20" s="3" t="s">
        <v>27</v>
      </c>
      <c r="B20">
        <v>95703.2</v>
      </c>
    </row>
    <row r="21" spans="1:2" x14ac:dyDescent="0.3">
      <c r="A21" s="3" t="s">
        <v>29</v>
      </c>
      <c r="B21">
        <v>78104.399999999994</v>
      </c>
    </row>
    <row r="22" spans="1:2" x14ac:dyDescent="0.3">
      <c r="A22" s="3" t="s">
        <v>30</v>
      </c>
      <c r="B22">
        <v>68298.899999999994</v>
      </c>
    </row>
    <row r="23" spans="1:2" x14ac:dyDescent="0.3">
      <c r="A23" s="3" t="s">
        <v>31</v>
      </c>
      <c r="B23">
        <v>65349.7</v>
      </c>
    </row>
    <row r="24" spans="1:2" x14ac:dyDescent="0.3">
      <c r="A24" s="3" t="s">
        <v>32</v>
      </c>
      <c r="B24">
        <v>65142.9</v>
      </c>
    </row>
    <row r="25" spans="1:2" x14ac:dyDescent="0.3">
      <c r="A25" s="3" t="s">
        <v>33</v>
      </c>
      <c r="B25">
        <v>64656.9</v>
      </c>
    </row>
    <row r="26" spans="1:2" x14ac:dyDescent="0.3">
      <c r="A26" s="3" t="s">
        <v>35</v>
      </c>
      <c r="B26">
        <v>64549</v>
      </c>
    </row>
    <row r="27" spans="1:2" x14ac:dyDescent="0.3">
      <c r="A27" s="3" t="s">
        <v>36</v>
      </c>
      <c r="B27">
        <v>60670.7</v>
      </c>
    </row>
    <row r="28" spans="1:2" x14ac:dyDescent="0.3">
      <c r="A28" s="3" t="s">
        <v>38</v>
      </c>
      <c r="B28">
        <v>58049.5</v>
      </c>
    </row>
    <row r="29" spans="1:2" x14ac:dyDescent="0.3">
      <c r="A29" s="3" t="s">
        <v>39</v>
      </c>
      <c r="B29">
        <v>56727.1</v>
      </c>
    </row>
    <row r="30" spans="1:2" x14ac:dyDescent="0.3">
      <c r="A30" s="3" t="s">
        <v>40</v>
      </c>
      <c r="B30">
        <v>56459.5</v>
      </c>
    </row>
    <row r="31" spans="1:2" x14ac:dyDescent="0.3">
      <c r="A31" s="3" t="s">
        <v>41</v>
      </c>
      <c r="B31">
        <v>55028.3</v>
      </c>
    </row>
    <row r="32" spans="1:2" x14ac:dyDescent="0.3">
      <c r="A32" s="3" t="s">
        <v>42</v>
      </c>
      <c r="B32">
        <v>54649.2</v>
      </c>
    </row>
    <row r="33" spans="1:2" x14ac:dyDescent="0.3">
      <c r="A33" s="3" t="s">
        <v>44</v>
      </c>
      <c r="B33">
        <v>53951.5</v>
      </c>
    </row>
    <row r="34" spans="1:2" x14ac:dyDescent="0.3">
      <c r="A34" s="3" t="s">
        <v>45</v>
      </c>
      <c r="B34">
        <v>53308.9</v>
      </c>
    </row>
    <row r="35" spans="1:2" x14ac:dyDescent="0.3">
      <c r="A35" s="3" t="s">
        <v>50</v>
      </c>
      <c r="B35">
        <v>47649.2</v>
      </c>
    </row>
    <row r="36" spans="1:2" x14ac:dyDescent="0.3">
      <c r="A36" s="3" t="s">
        <v>51</v>
      </c>
      <c r="B36">
        <v>46720.4</v>
      </c>
    </row>
    <row r="37" spans="1:2" x14ac:dyDescent="0.3">
      <c r="A37" s="3" t="s">
        <v>53</v>
      </c>
      <c r="B37">
        <v>46276.4</v>
      </c>
    </row>
    <row r="38" spans="1:2" x14ac:dyDescent="0.3">
      <c r="A38" s="3" t="s">
        <v>54</v>
      </c>
      <c r="B38">
        <v>43963.8</v>
      </c>
    </row>
    <row r="39" spans="1:2" x14ac:dyDescent="0.3">
      <c r="A39" s="3" t="s">
        <v>55</v>
      </c>
      <c r="B39">
        <v>43330.3</v>
      </c>
    </row>
    <row r="40" spans="1:2" x14ac:dyDescent="0.3">
      <c r="A40" s="3" t="s">
        <v>57</v>
      </c>
      <c r="B40">
        <v>42464.1</v>
      </c>
    </row>
    <row r="41" spans="1:2" x14ac:dyDescent="0.3">
      <c r="A41" s="3" t="s">
        <v>59</v>
      </c>
      <c r="B41">
        <v>42059.5</v>
      </c>
    </row>
    <row r="42" spans="1:2" x14ac:dyDescent="0.3">
      <c r="A42" s="3" t="s">
        <v>62</v>
      </c>
      <c r="B42">
        <v>41944.1</v>
      </c>
    </row>
    <row r="43" spans="1:2" x14ac:dyDescent="0.3">
      <c r="A43" s="3" t="s">
        <v>63</v>
      </c>
      <c r="B43">
        <v>41405.4</v>
      </c>
    </row>
    <row r="44" spans="1:2" x14ac:dyDescent="0.3">
      <c r="A44" s="3" t="s">
        <v>64</v>
      </c>
      <c r="B44">
        <v>40738.6</v>
      </c>
    </row>
    <row r="45" spans="1:2" x14ac:dyDescent="0.3">
      <c r="A45" s="3" t="s">
        <v>65</v>
      </c>
      <c r="B45">
        <v>40453.300000000003</v>
      </c>
    </row>
    <row r="46" spans="1:2" x14ac:dyDescent="0.3">
      <c r="A46" s="3" t="s">
        <v>66</v>
      </c>
      <c r="B46">
        <v>40411.300000000003</v>
      </c>
    </row>
    <row r="47" spans="1:2" x14ac:dyDescent="0.3">
      <c r="A47" s="3" t="s">
        <v>67</v>
      </c>
      <c r="B47">
        <v>40279.5</v>
      </c>
    </row>
    <row r="48" spans="1:2" x14ac:dyDescent="0.3">
      <c r="A48" s="3" t="s">
        <v>68</v>
      </c>
      <c r="B48">
        <v>40148.199999999997</v>
      </c>
    </row>
    <row r="49" spans="1:2" x14ac:dyDescent="0.3">
      <c r="A49" s="3" t="s">
        <v>69</v>
      </c>
      <c r="B49">
        <v>39024.300000000003</v>
      </c>
    </row>
    <row r="50" spans="1:2" x14ac:dyDescent="0.3">
      <c r="A50" s="3" t="s">
        <v>70</v>
      </c>
      <c r="B50">
        <v>38879.599999999999</v>
      </c>
    </row>
    <row r="51" spans="1:2" x14ac:dyDescent="0.3">
      <c r="A51" s="3" t="s">
        <v>71</v>
      </c>
      <c r="B51">
        <v>37687.800000000003</v>
      </c>
    </row>
    <row r="52" spans="1:2" x14ac:dyDescent="0.3">
      <c r="A52" s="3" t="s">
        <v>75</v>
      </c>
      <c r="B52">
        <v>37565.4</v>
      </c>
    </row>
    <row r="53" spans="1:2" x14ac:dyDescent="0.3">
      <c r="A53" s="3" t="s">
        <v>76</v>
      </c>
      <c r="B53">
        <v>37549.699999999997</v>
      </c>
    </row>
    <row r="54" spans="1:2" x14ac:dyDescent="0.3">
      <c r="A54" s="3" t="s">
        <v>77</v>
      </c>
      <c r="B54">
        <v>35931.9</v>
      </c>
    </row>
    <row r="55" spans="1:2" x14ac:dyDescent="0.3">
      <c r="A55" s="3" t="s">
        <v>78</v>
      </c>
      <c r="B55">
        <v>35794.1</v>
      </c>
    </row>
    <row r="56" spans="1:2" x14ac:dyDescent="0.3">
      <c r="A56" s="3" t="s">
        <v>80</v>
      </c>
      <c r="B56">
        <v>35727.199999999997</v>
      </c>
    </row>
    <row r="57" spans="1:2" x14ac:dyDescent="0.3">
      <c r="A57" s="3" t="s">
        <v>81</v>
      </c>
      <c r="B57">
        <v>34975.199999999997</v>
      </c>
    </row>
    <row r="58" spans="1:2" x14ac:dyDescent="0.3">
      <c r="A58" s="3" t="s">
        <v>82</v>
      </c>
      <c r="B58">
        <v>34841</v>
      </c>
    </row>
    <row r="59" spans="1:2" x14ac:dyDescent="0.3">
      <c r="A59" s="3" t="s">
        <v>84</v>
      </c>
      <c r="B59">
        <v>34579.1</v>
      </c>
    </row>
    <row r="60" spans="1:2" x14ac:dyDescent="0.3">
      <c r="A60" s="3" t="s">
        <v>85</v>
      </c>
      <c r="B60">
        <v>34129.699999999997</v>
      </c>
    </row>
    <row r="61" spans="1:2" x14ac:dyDescent="0.3">
      <c r="A61" s="3" t="s">
        <v>87</v>
      </c>
      <c r="B61">
        <v>33620.699999999997</v>
      </c>
    </row>
    <row r="62" spans="1:2" x14ac:dyDescent="0.3">
      <c r="A62" s="3" t="s">
        <v>88</v>
      </c>
      <c r="B62">
        <v>33224.699999999997</v>
      </c>
    </row>
    <row r="63" spans="1:2" x14ac:dyDescent="0.3">
      <c r="A63" s="3" t="s">
        <v>89</v>
      </c>
      <c r="B63">
        <v>33179.800000000003</v>
      </c>
    </row>
    <row r="64" spans="1:2" x14ac:dyDescent="0.3">
      <c r="A64" s="3" t="s">
        <v>92</v>
      </c>
      <c r="B64">
        <v>32200.9</v>
      </c>
    </row>
    <row r="65" spans="1:2" x14ac:dyDescent="0.3">
      <c r="A65" s="3" t="s">
        <v>93</v>
      </c>
      <c r="B65">
        <v>32115.9</v>
      </c>
    </row>
    <row r="66" spans="1:2" x14ac:dyDescent="0.3">
      <c r="A66" s="3" t="s">
        <v>94</v>
      </c>
      <c r="B66">
        <v>31642.1</v>
      </c>
    </row>
    <row r="67" spans="1:2" x14ac:dyDescent="0.3">
      <c r="A67" s="3" t="s">
        <v>96</v>
      </c>
      <c r="B67">
        <v>31214.3</v>
      </c>
    </row>
    <row r="68" spans="1:2" x14ac:dyDescent="0.3">
      <c r="A68" s="3" t="s">
        <v>97</v>
      </c>
      <c r="B68">
        <v>31212.400000000001</v>
      </c>
    </row>
    <row r="69" spans="1:2" x14ac:dyDescent="0.3">
      <c r="A69" s="3" t="s">
        <v>98</v>
      </c>
      <c r="B69">
        <v>31171.1</v>
      </c>
    </row>
    <row r="70" spans="1:2" x14ac:dyDescent="0.3">
      <c r="A70" s="3" t="s">
        <v>100</v>
      </c>
      <c r="B70">
        <v>30933.8</v>
      </c>
    </row>
    <row r="71" spans="1:2" x14ac:dyDescent="0.3">
      <c r="A71" s="3" t="s">
        <v>101</v>
      </c>
      <c r="B71">
        <v>29775.3</v>
      </c>
    </row>
    <row r="72" spans="1:2" x14ac:dyDescent="0.3">
      <c r="A72" s="3" t="s">
        <v>102</v>
      </c>
      <c r="B72">
        <v>29471.1</v>
      </c>
    </row>
    <row r="73" spans="1:2" x14ac:dyDescent="0.3">
      <c r="A73" s="3" t="s">
        <v>103</v>
      </c>
      <c r="B73">
        <v>29449</v>
      </c>
    </row>
    <row r="74" spans="1:2" x14ac:dyDescent="0.3">
      <c r="A74" s="3" t="s">
        <v>104</v>
      </c>
      <c r="B74">
        <v>29370</v>
      </c>
    </row>
    <row r="75" spans="1:2" x14ac:dyDescent="0.3">
      <c r="A75" s="3" t="s">
        <v>105</v>
      </c>
      <c r="B75">
        <v>29197.200000000001</v>
      </c>
    </row>
    <row r="76" spans="1:2" x14ac:dyDescent="0.3">
      <c r="A76" s="3" t="s">
        <v>106</v>
      </c>
      <c r="B76">
        <v>28889.5</v>
      </c>
    </row>
    <row r="77" spans="1:2" x14ac:dyDescent="0.3">
      <c r="A77" s="3" t="s">
        <v>107</v>
      </c>
      <c r="B77">
        <v>28848.7</v>
      </c>
    </row>
    <row r="78" spans="1:2" x14ac:dyDescent="0.3">
      <c r="A78" s="3" t="s">
        <v>108</v>
      </c>
      <c r="B78">
        <v>28799.7</v>
      </c>
    </row>
    <row r="79" spans="1:2" x14ac:dyDescent="0.3">
      <c r="A79" s="3" t="s">
        <v>109</v>
      </c>
      <c r="B79">
        <v>28690.5</v>
      </c>
    </row>
    <row r="80" spans="1:2" x14ac:dyDescent="0.3">
      <c r="A80" s="3" t="s">
        <v>110</v>
      </c>
      <c r="B80">
        <v>28543.9</v>
      </c>
    </row>
    <row r="81" spans="1:2" x14ac:dyDescent="0.3">
      <c r="A81" s="3" t="s">
        <v>111</v>
      </c>
      <c r="B81">
        <v>28248</v>
      </c>
    </row>
    <row r="82" spans="1:2" x14ac:dyDescent="0.3">
      <c r="A82" s="3" t="s">
        <v>112</v>
      </c>
      <c r="B82">
        <v>28195.8</v>
      </c>
    </row>
    <row r="83" spans="1:2" x14ac:dyDescent="0.3">
      <c r="A83" s="3" t="s">
        <v>113</v>
      </c>
      <c r="B83">
        <v>28155.4</v>
      </c>
    </row>
    <row r="84" spans="1:2" x14ac:dyDescent="0.3">
      <c r="A84" s="3" t="s">
        <v>114</v>
      </c>
      <c r="B84">
        <v>27466.799999999999</v>
      </c>
    </row>
    <row r="85" spans="1:2" x14ac:dyDescent="0.3">
      <c r="A85" s="3" t="s">
        <v>115</v>
      </c>
      <c r="B85">
        <v>27406.799999999999</v>
      </c>
    </row>
    <row r="86" spans="1:2" x14ac:dyDescent="0.3">
      <c r="A86" s="3" t="s">
        <v>116</v>
      </c>
      <c r="B86">
        <v>27125.8</v>
      </c>
    </row>
    <row r="87" spans="1:2" x14ac:dyDescent="0.3">
      <c r="A87" s="3" t="s">
        <v>117</v>
      </c>
      <c r="B87">
        <v>26895.1</v>
      </c>
    </row>
    <row r="88" spans="1:2" x14ac:dyDescent="0.3">
      <c r="A88" s="3" t="s">
        <v>118</v>
      </c>
      <c r="B88">
        <v>26465.200000000001</v>
      </c>
    </row>
    <row r="89" spans="1:2" x14ac:dyDescent="0.3">
      <c r="A89" s="3" t="s">
        <v>119</v>
      </c>
      <c r="B89">
        <v>26130.5</v>
      </c>
    </row>
    <row r="90" spans="1:2" x14ac:dyDescent="0.3">
      <c r="A90" s="3" t="s">
        <v>120</v>
      </c>
      <c r="B90">
        <v>25875.8</v>
      </c>
    </row>
    <row r="91" spans="1:2" x14ac:dyDescent="0.3">
      <c r="A91" s="3" t="s">
        <v>121</v>
      </c>
      <c r="B91">
        <v>25875.4</v>
      </c>
    </row>
    <row r="92" spans="1:2" x14ac:dyDescent="0.3">
      <c r="A92" s="3" t="s">
        <v>122</v>
      </c>
      <c r="B92">
        <v>25818.400000000001</v>
      </c>
    </row>
    <row r="93" spans="1:2" x14ac:dyDescent="0.3">
      <c r="A93" s="3" t="s">
        <v>123</v>
      </c>
      <c r="B93">
        <v>25687.5</v>
      </c>
    </row>
    <row r="94" spans="1:2" x14ac:dyDescent="0.3">
      <c r="A94" s="3" t="s">
        <v>124</v>
      </c>
      <c r="B94">
        <v>25289.9</v>
      </c>
    </row>
    <row r="95" spans="1:2" x14ac:dyDescent="0.3">
      <c r="A95" s="3" t="s">
        <v>125</v>
      </c>
      <c r="B95">
        <v>25264.400000000001</v>
      </c>
    </row>
    <row r="96" spans="1:2" x14ac:dyDescent="0.3">
      <c r="A96" s="3" t="s">
        <v>126</v>
      </c>
      <c r="B96">
        <v>24888.6</v>
      </c>
    </row>
    <row r="97" spans="1:2" x14ac:dyDescent="0.3">
      <c r="A97" s="3" t="s">
        <v>127</v>
      </c>
      <c r="B97">
        <v>24807.4</v>
      </c>
    </row>
    <row r="98" spans="1:2" x14ac:dyDescent="0.3">
      <c r="A98" s="3" t="s">
        <v>128</v>
      </c>
      <c r="B98">
        <v>24607</v>
      </c>
    </row>
    <row r="99" spans="1:2" x14ac:dyDescent="0.3">
      <c r="A99" s="3" t="s">
        <v>132</v>
      </c>
      <c r="B99">
        <v>24440.1</v>
      </c>
    </row>
    <row r="100" spans="1:2" x14ac:dyDescent="0.3">
      <c r="A100" s="3" t="s">
        <v>133</v>
      </c>
      <c r="B100">
        <v>24217.200000000001</v>
      </c>
    </row>
    <row r="101" spans="1:2" x14ac:dyDescent="0.3">
      <c r="A101" s="3" t="s">
        <v>134</v>
      </c>
      <c r="B101">
        <v>23907.599999999999</v>
      </c>
    </row>
    <row r="102" spans="1:2" x14ac:dyDescent="0.3">
      <c r="A102" s="3" t="s">
        <v>135</v>
      </c>
      <c r="B102">
        <v>23845.1</v>
      </c>
    </row>
    <row r="103" spans="1:2" x14ac:dyDescent="0.3">
      <c r="A103" s="3" t="s">
        <v>136</v>
      </c>
      <c r="B103">
        <v>23705.9</v>
      </c>
    </row>
    <row r="104" spans="1:2" x14ac:dyDescent="0.3">
      <c r="A104" s="3" t="s">
        <v>137</v>
      </c>
      <c r="B104">
        <v>22494.9</v>
      </c>
    </row>
    <row r="105" spans="1:2" x14ac:dyDescent="0.3">
      <c r="A105" s="3" t="s">
        <v>138</v>
      </c>
      <c r="B105">
        <v>22475.8</v>
      </c>
    </row>
    <row r="106" spans="1:2" x14ac:dyDescent="0.3">
      <c r="A106" s="3" t="s">
        <v>139</v>
      </c>
      <c r="B106">
        <v>22236.1</v>
      </c>
    </row>
    <row r="107" spans="1:2" x14ac:dyDescent="0.3">
      <c r="A107" s="3" t="s">
        <v>141</v>
      </c>
      <c r="B107">
        <v>21937.3</v>
      </c>
    </row>
    <row r="108" spans="1:2" x14ac:dyDescent="0.3">
      <c r="A108" s="3" t="s">
        <v>142</v>
      </c>
      <c r="B108">
        <v>21873.8</v>
      </c>
    </row>
    <row r="109" spans="1:2" x14ac:dyDescent="0.3">
      <c r="A109" s="3" t="s">
        <v>143</v>
      </c>
      <c r="B109">
        <v>21546.2</v>
      </c>
    </row>
    <row r="110" spans="1:2" x14ac:dyDescent="0.3">
      <c r="A110" s="3" t="s">
        <v>145</v>
      </c>
      <c r="B110">
        <v>21202.3</v>
      </c>
    </row>
    <row r="111" spans="1:2" x14ac:dyDescent="0.3">
      <c r="A111" s="3" t="s">
        <v>146</v>
      </c>
      <c r="B111">
        <v>21182.2</v>
      </c>
    </row>
    <row r="112" spans="1:2" x14ac:dyDescent="0.3">
      <c r="A112" s="3" t="s">
        <v>147</v>
      </c>
      <c r="B112">
        <v>21003.5</v>
      </c>
    </row>
    <row r="113" spans="1:2" x14ac:dyDescent="0.3">
      <c r="A113" s="3" t="s">
        <v>149</v>
      </c>
      <c r="B113">
        <v>20670.8</v>
      </c>
    </row>
    <row r="114" spans="1:2" x14ac:dyDescent="0.3">
      <c r="A114" s="3" t="s">
        <v>150</v>
      </c>
      <c r="B114">
        <v>20644.8</v>
      </c>
    </row>
    <row r="115" spans="1:2" x14ac:dyDescent="0.3">
      <c r="A115" s="3" t="s">
        <v>151</v>
      </c>
      <c r="B115">
        <v>20549.2</v>
      </c>
    </row>
    <row r="116" spans="1:2" x14ac:dyDescent="0.3">
      <c r="A116" s="3" t="s">
        <v>153</v>
      </c>
      <c r="B116">
        <v>20444.599999999999</v>
      </c>
    </row>
    <row r="117" spans="1:2" x14ac:dyDescent="0.3">
      <c r="A117" s="3" t="s">
        <v>154</v>
      </c>
      <c r="B117">
        <v>20300.7</v>
      </c>
    </row>
    <row r="118" spans="1:2" x14ac:dyDescent="0.3">
      <c r="A118" s="3" t="s">
        <v>155</v>
      </c>
      <c r="B118">
        <v>20138.099999999999</v>
      </c>
    </row>
    <row r="119" spans="1:2" x14ac:dyDescent="0.3">
      <c r="A119" s="3" t="s">
        <v>156</v>
      </c>
      <c r="B119">
        <v>20091.099999999999</v>
      </c>
    </row>
    <row r="120" spans="1:2" x14ac:dyDescent="0.3">
      <c r="A120" s="3" t="s">
        <v>157</v>
      </c>
      <c r="B120">
        <v>19977.5</v>
      </c>
    </row>
    <row r="121" spans="1:2" x14ac:dyDescent="0.3">
      <c r="A121" s="3" t="s">
        <v>158</v>
      </c>
      <c r="B121">
        <v>19830.5</v>
      </c>
    </row>
    <row r="122" spans="1:2" x14ac:dyDescent="0.3">
      <c r="A122" s="3" t="s">
        <v>159</v>
      </c>
      <c r="B122">
        <v>19727.2</v>
      </c>
    </row>
    <row r="123" spans="1:2" x14ac:dyDescent="0.3">
      <c r="A123" s="3" t="s">
        <v>160</v>
      </c>
      <c r="B123">
        <v>19707.8</v>
      </c>
    </row>
    <row r="124" spans="1:2" x14ac:dyDescent="0.3">
      <c r="A124" s="3" t="s">
        <v>162</v>
      </c>
      <c r="B124">
        <v>19528.3</v>
      </c>
    </row>
    <row r="125" spans="1:2" x14ac:dyDescent="0.3">
      <c r="A125" s="3" t="s">
        <v>164</v>
      </c>
      <c r="B125">
        <v>19440.5</v>
      </c>
    </row>
    <row r="126" spans="1:2" x14ac:dyDescent="0.3">
      <c r="A126" s="3" t="s">
        <v>165</v>
      </c>
      <c r="B126">
        <v>19383.5</v>
      </c>
    </row>
    <row r="127" spans="1:2" x14ac:dyDescent="0.3">
      <c r="A127" s="3" t="s">
        <v>166</v>
      </c>
      <c r="B127">
        <v>19231.7</v>
      </c>
    </row>
    <row r="128" spans="1:2" x14ac:dyDescent="0.3">
      <c r="A128" s="3" t="s">
        <v>170</v>
      </c>
      <c r="B128">
        <v>19101.599999999999</v>
      </c>
    </row>
    <row r="129" spans="1:2" x14ac:dyDescent="0.3">
      <c r="A129" s="3" t="s">
        <v>171</v>
      </c>
      <c r="B129">
        <v>19090.400000000001</v>
      </c>
    </row>
    <row r="130" spans="1:2" x14ac:dyDescent="0.3">
      <c r="A130" s="3" t="s">
        <v>172</v>
      </c>
      <c r="B130">
        <v>18912.7</v>
      </c>
    </row>
    <row r="131" spans="1:2" x14ac:dyDescent="0.3">
      <c r="A131" s="3" t="s">
        <v>173</v>
      </c>
      <c r="B131">
        <v>18889.599999999999</v>
      </c>
    </row>
    <row r="132" spans="1:2" x14ac:dyDescent="0.3">
      <c r="A132" s="3" t="s">
        <v>174</v>
      </c>
      <c r="B132">
        <v>18707.3</v>
      </c>
    </row>
    <row r="133" spans="1:2" x14ac:dyDescent="0.3">
      <c r="A133" s="3" t="s">
        <v>175</v>
      </c>
      <c r="B133">
        <v>18649.5</v>
      </c>
    </row>
    <row r="134" spans="1:2" x14ac:dyDescent="0.3">
      <c r="A134" s="3" t="s">
        <v>176</v>
      </c>
      <c r="B134">
        <v>18627</v>
      </c>
    </row>
    <row r="135" spans="1:2" x14ac:dyDescent="0.3">
      <c r="A135" s="3" t="s">
        <v>177</v>
      </c>
      <c r="B135">
        <v>18580.599999999999</v>
      </c>
    </row>
    <row r="136" spans="1:2" x14ac:dyDescent="0.3">
      <c r="A136" s="3" t="s">
        <v>178</v>
      </c>
      <c r="B136">
        <v>18413.2</v>
      </c>
    </row>
    <row r="137" spans="1:2" x14ac:dyDescent="0.3">
      <c r="A137" s="3" t="s">
        <v>179</v>
      </c>
      <c r="B137">
        <v>18309.3</v>
      </c>
    </row>
    <row r="138" spans="1:2" x14ac:dyDescent="0.3">
      <c r="A138" s="3" t="s">
        <v>180</v>
      </c>
      <c r="B138">
        <v>18270.8</v>
      </c>
    </row>
    <row r="139" spans="1:2" x14ac:dyDescent="0.3">
      <c r="A139" s="3" t="s">
        <v>181</v>
      </c>
      <c r="B139">
        <v>18217.099999999999</v>
      </c>
    </row>
    <row r="140" spans="1:2" x14ac:dyDescent="0.3">
      <c r="A140" s="3" t="s">
        <v>183</v>
      </c>
      <c r="B140">
        <v>18203.3</v>
      </c>
    </row>
    <row r="141" spans="1:2" x14ac:dyDescent="0.3">
      <c r="A141" s="3" t="s">
        <v>186</v>
      </c>
      <c r="B141">
        <v>18064.3</v>
      </c>
    </row>
    <row r="142" spans="1:2" x14ac:dyDescent="0.3">
      <c r="A142" s="3" t="s">
        <v>187</v>
      </c>
      <c r="B142">
        <v>18005.3</v>
      </c>
    </row>
    <row r="143" spans="1:2" x14ac:dyDescent="0.3">
      <c r="A143" s="3" t="s">
        <v>188</v>
      </c>
      <c r="B143">
        <v>17738.8</v>
      </c>
    </row>
    <row r="144" spans="1:2" x14ac:dyDescent="0.3">
      <c r="A144" s="3" t="s">
        <v>189</v>
      </c>
      <c r="B144">
        <v>17720.2</v>
      </c>
    </row>
    <row r="145" spans="1:2" x14ac:dyDescent="0.3">
      <c r="A145" s="3" t="s">
        <v>190</v>
      </c>
      <c r="B145">
        <v>17517.400000000001</v>
      </c>
    </row>
    <row r="146" spans="1:2" x14ac:dyDescent="0.3">
      <c r="A146" s="3" t="s">
        <v>191</v>
      </c>
      <c r="B146">
        <v>17516.099999999999</v>
      </c>
    </row>
    <row r="147" spans="1:2" x14ac:dyDescent="0.3">
      <c r="A147" s="3" t="s">
        <v>192</v>
      </c>
      <c r="B147">
        <v>17440.2</v>
      </c>
    </row>
    <row r="148" spans="1:2" x14ac:dyDescent="0.3">
      <c r="A148" s="3" t="s">
        <v>193</v>
      </c>
      <c r="B148">
        <v>17316.599999999999</v>
      </c>
    </row>
    <row r="149" spans="1:2" x14ac:dyDescent="0.3">
      <c r="A149" s="3" t="s">
        <v>194</v>
      </c>
      <c r="B149">
        <v>17314.099999999999</v>
      </c>
    </row>
    <row r="150" spans="1:2" x14ac:dyDescent="0.3">
      <c r="A150" s="3" t="s">
        <v>195</v>
      </c>
      <c r="B150">
        <v>17119.5</v>
      </c>
    </row>
    <row r="151" spans="1:2" x14ac:dyDescent="0.3">
      <c r="A151" s="3" t="s">
        <v>196</v>
      </c>
      <c r="B151">
        <v>17056</v>
      </c>
    </row>
    <row r="152" spans="1:2" x14ac:dyDescent="0.3">
      <c r="A152" s="3" t="s">
        <v>198</v>
      </c>
      <c r="B152">
        <v>17010.5</v>
      </c>
    </row>
    <row r="153" spans="1:2" x14ac:dyDescent="0.3">
      <c r="A153" s="3" t="s">
        <v>199</v>
      </c>
      <c r="B153">
        <v>16984.3</v>
      </c>
    </row>
    <row r="154" spans="1:2" x14ac:dyDescent="0.3">
      <c r="A154" s="3" t="s">
        <v>200</v>
      </c>
      <c r="B154">
        <v>16969.400000000001</v>
      </c>
    </row>
    <row r="155" spans="1:2" x14ac:dyDescent="0.3">
      <c r="A155" s="3" t="s">
        <v>201</v>
      </c>
      <c r="B155">
        <v>16893.400000000001</v>
      </c>
    </row>
    <row r="156" spans="1:2" x14ac:dyDescent="0.3">
      <c r="A156" s="3" t="s">
        <v>202</v>
      </c>
      <c r="B156">
        <v>16877.3</v>
      </c>
    </row>
    <row r="157" spans="1:2" x14ac:dyDescent="0.3">
      <c r="A157" s="3" t="s">
        <v>203</v>
      </c>
      <c r="B157">
        <v>16577.5</v>
      </c>
    </row>
    <row r="158" spans="1:2" x14ac:dyDescent="0.3">
      <c r="A158" s="3" t="s">
        <v>204</v>
      </c>
      <c r="B158">
        <v>16556.5</v>
      </c>
    </row>
    <row r="159" spans="1:2" x14ac:dyDescent="0.3">
      <c r="A159" s="3" t="s">
        <v>206</v>
      </c>
      <c r="B159">
        <v>16553.3</v>
      </c>
    </row>
    <row r="160" spans="1:2" x14ac:dyDescent="0.3">
      <c r="A160" s="3" t="s">
        <v>207</v>
      </c>
      <c r="B160">
        <v>16454.900000000001</v>
      </c>
    </row>
    <row r="161" spans="1:2" x14ac:dyDescent="0.3">
      <c r="A161" s="3" t="s">
        <v>208</v>
      </c>
      <c r="B161">
        <v>16428.900000000001</v>
      </c>
    </row>
    <row r="162" spans="1:2" x14ac:dyDescent="0.3">
      <c r="A162" s="3" t="s">
        <v>209</v>
      </c>
      <c r="B162">
        <v>16366.1</v>
      </c>
    </row>
    <row r="163" spans="1:2" x14ac:dyDescent="0.3">
      <c r="A163" s="3" t="s">
        <v>210</v>
      </c>
      <c r="B163">
        <v>16271.6</v>
      </c>
    </row>
    <row r="164" spans="1:2" x14ac:dyDescent="0.3">
      <c r="A164" s="3" t="s">
        <v>211</v>
      </c>
      <c r="B164">
        <v>16228.7</v>
      </c>
    </row>
    <row r="165" spans="1:2" x14ac:dyDescent="0.3">
      <c r="A165" s="3" t="s">
        <v>212</v>
      </c>
      <c r="B165">
        <v>16217.4</v>
      </c>
    </row>
    <row r="166" spans="1:2" x14ac:dyDescent="0.3">
      <c r="A166" s="3" t="s">
        <v>213</v>
      </c>
      <c r="B166">
        <v>16148.3</v>
      </c>
    </row>
    <row r="167" spans="1:2" x14ac:dyDescent="0.3">
      <c r="A167" s="3" t="s">
        <v>214</v>
      </c>
      <c r="B167">
        <v>16111.6</v>
      </c>
    </row>
    <row r="168" spans="1:2" x14ac:dyDescent="0.3">
      <c r="A168" s="3" t="s">
        <v>215</v>
      </c>
      <c r="B168">
        <v>16021.1</v>
      </c>
    </row>
    <row r="169" spans="1:2" x14ac:dyDescent="0.3">
      <c r="A169" s="3" t="s">
        <v>216</v>
      </c>
      <c r="B169">
        <v>15952.2</v>
      </c>
    </row>
    <row r="170" spans="1:2" x14ac:dyDescent="0.3">
      <c r="A170" s="3" t="s">
        <v>217</v>
      </c>
      <c r="B170">
        <v>15921.1</v>
      </c>
    </row>
    <row r="171" spans="1:2" x14ac:dyDescent="0.3">
      <c r="A171" s="3" t="s">
        <v>218</v>
      </c>
      <c r="B171">
        <v>15876.2</v>
      </c>
    </row>
    <row r="172" spans="1:2" x14ac:dyDescent="0.3">
      <c r="A172" s="3" t="s">
        <v>219</v>
      </c>
      <c r="B172">
        <v>15775.7</v>
      </c>
    </row>
    <row r="173" spans="1:2" x14ac:dyDescent="0.3">
      <c r="A173" s="3" t="s">
        <v>220</v>
      </c>
      <c r="B173">
        <v>15746</v>
      </c>
    </row>
    <row r="174" spans="1:2" x14ac:dyDescent="0.3">
      <c r="A174" s="3" t="s">
        <v>221</v>
      </c>
      <c r="B174">
        <v>15723</v>
      </c>
    </row>
    <row r="175" spans="1:2" x14ac:dyDescent="0.3">
      <c r="A175" s="3" t="s">
        <v>222</v>
      </c>
      <c r="B175">
        <v>15684.7</v>
      </c>
    </row>
    <row r="176" spans="1:2" x14ac:dyDescent="0.3">
      <c r="A176" s="3" t="s">
        <v>224</v>
      </c>
      <c r="B176">
        <v>15638.8</v>
      </c>
    </row>
    <row r="177" spans="1:2" x14ac:dyDescent="0.3">
      <c r="A177" s="3" t="s">
        <v>225</v>
      </c>
      <c r="B177">
        <v>15562.1</v>
      </c>
    </row>
    <row r="178" spans="1:2" x14ac:dyDescent="0.3">
      <c r="A178" s="3" t="s">
        <v>226</v>
      </c>
      <c r="B178">
        <v>15561.7</v>
      </c>
    </row>
    <row r="179" spans="1:2" x14ac:dyDescent="0.3">
      <c r="A179" s="3" t="s">
        <v>227</v>
      </c>
      <c r="B179">
        <v>15528.2</v>
      </c>
    </row>
    <row r="180" spans="1:2" x14ac:dyDescent="0.3">
      <c r="A180" s="3" t="s">
        <v>228</v>
      </c>
      <c r="B180">
        <v>15525.6</v>
      </c>
    </row>
    <row r="181" spans="1:2" x14ac:dyDescent="0.3">
      <c r="A181" s="3" t="s">
        <v>229</v>
      </c>
      <c r="B181">
        <v>15453.3</v>
      </c>
    </row>
    <row r="182" spans="1:2" x14ac:dyDescent="0.3">
      <c r="A182" s="3" t="s">
        <v>230</v>
      </c>
      <c r="B182">
        <v>15329.4</v>
      </c>
    </row>
    <row r="183" spans="1:2" x14ac:dyDescent="0.3">
      <c r="A183" s="3" t="s">
        <v>231</v>
      </c>
      <c r="B183">
        <v>15252.2</v>
      </c>
    </row>
    <row r="184" spans="1:2" x14ac:dyDescent="0.3">
      <c r="A184" s="3" t="s">
        <v>232</v>
      </c>
      <c r="B184">
        <v>15240.4</v>
      </c>
    </row>
    <row r="185" spans="1:2" x14ac:dyDescent="0.3">
      <c r="A185" s="3" t="s">
        <v>234</v>
      </c>
      <c r="B185">
        <v>15133</v>
      </c>
    </row>
    <row r="186" spans="1:2" x14ac:dyDescent="0.3">
      <c r="A186" s="3" t="s">
        <v>235</v>
      </c>
      <c r="B186">
        <v>15086.8</v>
      </c>
    </row>
    <row r="187" spans="1:2" x14ac:dyDescent="0.3">
      <c r="A187" s="3" t="s">
        <v>236</v>
      </c>
      <c r="B187">
        <v>15041.1</v>
      </c>
    </row>
    <row r="188" spans="1:2" x14ac:dyDescent="0.3">
      <c r="A188" s="3" t="s">
        <v>237</v>
      </c>
      <c r="B188">
        <v>14992.7</v>
      </c>
    </row>
    <row r="189" spans="1:2" x14ac:dyDescent="0.3">
      <c r="A189" s="3" t="s">
        <v>238</v>
      </c>
      <c r="B189">
        <v>14947.4</v>
      </c>
    </row>
    <row r="190" spans="1:2" x14ac:dyDescent="0.3">
      <c r="A190" s="3" t="s">
        <v>239</v>
      </c>
      <c r="B190">
        <v>14897.8</v>
      </c>
    </row>
    <row r="191" spans="1:2" x14ac:dyDescent="0.3">
      <c r="A191" s="3" t="s">
        <v>240</v>
      </c>
      <c r="B191">
        <v>14888.6</v>
      </c>
    </row>
    <row r="192" spans="1:2" x14ac:dyDescent="0.3">
      <c r="A192" s="3" t="s">
        <v>241</v>
      </c>
      <c r="B192">
        <v>14880.2</v>
      </c>
    </row>
    <row r="193" spans="1:2" x14ac:dyDescent="0.3">
      <c r="A193" s="3" t="s">
        <v>242</v>
      </c>
      <c r="B193">
        <v>14558.4</v>
      </c>
    </row>
    <row r="194" spans="1:2" x14ac:dyDescent="0.3">
      <c r="A194" s="3" t="s">
        <v>244</v>
      </c>
      <c r="B194">
        <v>14544.4</v>
      </c>
    </row>
    <row r="195" spans="1:2" x14ac:dyDescent="0.3">
      <c r="A195" s="3" t="s">
        <v>245</v>
      </c>
      <c r="B195">
        <v>14512.1</v>
      </c>
    </row>
    <row r="196" spans="1:2" x14ac:dyDescent="0.3">
      <c r="A196" s="3" t="s">
        <v>247</v>
      </c>
      <c r="B196">
        <v>14507.7</v>
      </c>
    </row>
    <row r="197" spans="1:2" x14ac:dyDescent="0.3">
      <c r="A197" s="3" t="s">
        <v>248</v>
      </c>
      <c r="B197">
        <v>14506.3</v>
      </c>
    </row>
    <row r="198" spans="1:2" x14ac:dyDescent="0.3">
      <c r="A198" s="3" t="s">
        <v>249</v>
      </c>
      <c r="B198">
        <v>14404.4</v>
      </c>
    </row>
    <row r="199" spans="1:2" x14ac:dyDescent="0.3">
      <c r="A199" s="3" t="s">
        <v>250</v>
      </c>
      <c r="B199">
        <v>14402.6</v>
      </c>
    </row>
    <row r="200" spans="1:2" x14ac:dyDescent="0.3">
      <c r="A200" s="3" t="s">
        <v>251</v>
      </c>
      <c r="B200">
        <v>14402.3</v>
      </c>
    </row>
    <row r="201" spans="1:2" x14ac:dyDescent="0.3">
      <c r="A201" s="3" t="s">
        <v>252</v>
      </c>
      <c r="B201">
        <v>14387.1</v>
      </c>
    </row>
    <row r="202" spans="1:2" x14ac:dyDescent="0.3">
      <c r="A202" s="3" t="s">
        <v>253</v>
      </c>
      <c r="B202">
        <v>14345.2</v>
      </c>
    </row>
    <row r="203" spans="1:2" x14ac:dyDescent="0.3">
      <c r="A203" s="3" t="s">
        <v>254</v>
      </c>
      <c r="B203">
        <v>14293.7</v>
      </c>
    </row>
    <row r="204" spans="1:2" x14ac:dyDescent="0.3">
      <c r="A204" s="3" t="s">
        <v>255</v>
      </c>
      <c r="B204">
        <v>14221.3</v>
      </c>
    </row>
    <row r="205" spans="1:2" x14ac:dyDescent="0.3">
      <c r="A205" s="3" t="s">
        <v>256</v>
      </c>
      <c r="B205">
        <v>14166.6</v>
      </c>
    </row>
    <row r="206" spans="1:2" x14ac:dyDescent="0.3">
      <c r="A206" s="3" t="s">
        <v>257</v>
      </c>
      <c r="B206">
        <v>14127.8</v>
      </c>
    </row>
    <row r="207" spans="1:2" x14ac:dyDescent="0.3">
      <c r="A207" s="3" t="s">
        <v>259</v>
      </c>
      <c r="B207">
        <v>14116.7</v>
      </c>
    </row>
    <row r="208" spans="1:2" x14ac:dyDescent="0.3">
      <c r="A208" s="3" t="s">
        <v>260</v>
      </c>
      <c r="B208">
        <v>14104.4</v>
      </c>
    </row>
    <row r="209" spans="1:2" x14ac:dyDescent="0.3">
      <c r="A209" s="3" t="s">
        <v>261</v>
      </c>
      <c r="B209">
        <v>14087.8</v>
      </c>
    </row>
    <row r="210" spans="1:2" x14ac:dyDescent="0.3">
      <c r="A210" s="3" t="s">
        <v>262</v>
      </c>
      <c r="B210">
        <v>13999.3</v>
      </c>
    </row>
    <row r="211" spans="1:2" x14ac:dyDescent="0.3">
      <c r="A211" s="3" t="s">
        <v>263</v>
      </c>
      <c r="B211">
        <v>13994.1</v>
      </c>
    </row>
    <row r="212" spans="1:2" x14ac:dyDescent="0.3">
      <c r="A212" s="3" t="s">
        <v>264</v>
      </c>
      <c r="B212">
        <v>13994</v>
      </c>
    </row>
    <row r="213" spans="1:2" x14ac:dyDescent="0.3">
      <c r="A213" s="3" t="s">
        <v>265</v>
      </c>
      <c r="B213">
        <v>13978.6</v>
      </c>
    </row>
    <row r="214" spans="1:2" x14ac:dyDescent="0.3">
      <c r="A214" s="3" t="s">
        <v>266</v>
      </c>
      <c r="B214">
        <v>13891.9</v>
      </c>
    </row>
    <row r="215" spans="1:2" x14ac:dyDescent="0.3">
      <c r="A215" s="3" t="s">
        <v>267</v>
      </c>
      <c r="B215">
        <v>13890.6</v>
      </c>
    </row>
    <row r="216" spans="1:2" x14ac:dyDescent="0.3">
      <c r="A216" s="3" t="s">
        <v>268</v>
      </c>
      <c r="B216">
        <v>13734.1</v>
      </c>
    </row>
    <row r="217" spans="1:2" x14ac:dyDescent="0.3">
      <c r="A217" s="3" t="s">
        <v>269</v>
      </c>
      <c r="B217">
        <v>13692</v>
      </c>
    </row>
    <row r="218" spans="1:2" x14ac:dyDescent="0.3">
      <c r="A218" s="3" t="s">
        <v>270</v>
      </c>
      <c r="B218">
        <v>13683</v>
      </c>
    </row>
    <row r="219" spans="1:2" x14ac:dyDescent="0.3">
      <c r="A219" s="3" t="s">
        <v>271</v>
      </c>
      <c r="B219">
        <v>13650.2</v>
      </c>
    </row>
    <row r="220" spans="1:2" x14ac:dyDescent="0.3">
      <c r="A220" s="3" t="s">
        <v>272</v>
      </c>
      <c r="B220">
        <v>13543.1</v>
      </c>
    </row>
    <row r="221" spans="1:2" x14ac:dyDescent="0.3">
      <c r="A221" s="3" t="s">
        <v>274</v>
      </c>
      <c r="B221">
        <v>13532</v>
      </c>
    </row>
    <row r="222" spans="1:2" x14ac:dyDescent="0.3">
      <c r="A222" s="3" t="s">
        <v>275</v>
      </c>
      <c r="B222">
        <v>13503.4</v>
      </c>
    </row>
    <row r="223" spans="1:2" x14ac:dyDescent="0.3">
      <c r="A223" s="3" t="s">
        <v>276</v>
      </c>
      <c r="B223">
        <v>13490.4</v>
      </c>
    </row>
    <row r="224" spans="1:2" x14ac:dyDescent="0.3">
      <c r="A224" s="3" t="s">
        <v>277</v>
      </c>
      <c r="B224">
        <v>13468.7</v>
      </c>
    </row>
    <row r="225" spans="1:2" x14ac:dyDescent="0.3">
      <c r="A225" s="3" t="s">
        <v>278</v>
      </c>
      <c r="B225">
        <v>13433.6</v>
      </c>
    </row>
    <row r="226" spans="1:2" x14ac:dyDescent="0.3">
      <c r="A226" s="3" t="s">
        <v>279</v>
      </c>
      <c r="B226">
        <v>13404.2</v>
      </c>
    </row>
    <row r="227" spans="1:2" x14ac:dyDescent="0.3">
      <c r="A227" s="3" t="s">
        <v>280</v>
      </c>
      <c r="B227">
        <v>13398.3</v>
      </c>
    </row>
    <row r="228" spans="1:2" x14ac:dyDescent="0.3">
      <c r="A228" s="3" t="s">
        <v>281</v>
      </c>
      <c r="B228">
        <v>13323.2</v>
      </c>
    </row>
    <row r="229" spans="1:2" x14ac:dyDescent="0.3">
      <c r="A229" s="3" t="s">
        <v>282</v>
      </c>
      <c r="B229">
        <v>13320.3</v>
      </c>
    </row>
    <row r="230" spans="1:2" x14ac:dyDescent="0.3">
      <c r="A230" s="3" t="s">
        <v>283</v>
      </c>
      <c r="B230">
        <v>13291</v>
      </c>
    </row>
    <row r="231" spans="1:2" x14ac:dyDescent="0.3">
      <c r="A231" s="3" t="s">
        <v>284</v>
      </c>
      <c r="B231">
        <v>13287</v>
      </c>
    </row>
    <row r="232" spans="1:2" x14ac:dyDescent="0.3">
      <c r="A232" s="3" t="s">
        <v>285</v>
      </c>
      <c r="B232">
        <v>13281.8</v>
      </c>
    </row>
    <row r="233" spans="1:2" x14ac:dyDescent="0.3">
      <c r="A233" s="3" t="s">
        <v>286</v>
      </c>
      <c r="B233">
        <v>13273.4</v>
      </c>
    </row>
    <row r="234" spans="1:2" x14ac:dyDescent="0.3">
      <c r="A234" s="3" t="s">
        <v>287</v>
      </c>
      <c r="B234">
        <v>13220.4</v>
      </c>
    </row>
    <row r="235" spans="1:2" x14ac:dyDescent="0.3">
      <c r="A235" s="3" t="s">
        <v>288</v>
      </c>
      <c r="B235">
        <v>13208.3</v>
      </c>
    </row>
    <row r="236" spans="1:2" x14ac:dyDescent="0.3">
      <c r="A236" s="3" t="s">
        <v>289</v>
      </c>
      <c r="B236">
        <v>13065.7</v>
      </c>
    </row>
    <row r="237" spans="1:2" x14ac:dyDescent="0.3">
      <c r="A237" s="3" t="s">
        <v>290</v>
      </c>
      <c r="B237">
        <v>13039.8</v>
      </c>
    </row>
    <row r="238" spans="1:2" x14ac:dyDescent="0.3">
      <c r="A238" s="3" t="s">
        <v>291</v>
      </c>
      <c r="B238">
        <v>13009.4</v>
      </c>
    </row>
    <row r="239" spans="1:2" x14ac:dyDescent="0.3">
      <c r="A239" s="3" t="s">
        <v>293</v>
      </c>
      <c r="B239">
        <v>12994.4</v>
      </c>
    </row>
    <row r="240" spans="1:2" x14ac:dyDescent="0.3">
      <c r="A240" s="3" t="s">
        <v>294</v>
      </c>
      <c r="B240">
        <v>12992.2</v>
      </c>
    </row>
    <row r="241" spans="1:2" x14ac:dyDescent="0.3">
      <c r="A241" s="3" t="s">
        <v>295</v>
      </c>
      <c r="B241">
        <v>12985.2</v>
      </c>
    </row>
    <row r="242" spans="1:2" x14ac:dyDescent="0.3">
      <c r="A242" s="3" t="s">
        <v>296</v>
      </c>
      <c r="B242">
        <v>12929.7</v>
      </c>
    </row>
    <row r="243" spans="1:2" x14ac:dyDescent="0.3">
      <c r="A243" s="3" t="s">
        <v>297</v>
      </c>
      <c r="B243">
        <v>12857.9</v>
      </c>
    </row>
    <row r="244" spans="1:2" x14ac:dyDescent="0.3">
      <c r="A244" s="3" t="s">
        <v>298</v>
      </c>
      <c r="B244">
        <v>12823.8</v>
      </c>
    </row>
    <row r="245" spans="1:2" x14ac:dyDescent="0.3">
      <c r="A245" s="3" t="s">
        <v>299</v>
      </c>
      <c r="B245">
        <v>12810.9</v>
      </c>
    </row>
    <row r="246" spans="1:2" x14ac:dyDescent="0.3">
      <c r="A246" s="3" t="s">
        <v>300</v>
      </c>
      <c r="B246">
        <v>12799.8</v>
      </c>
    </row>
    <row r="247" spans="1:2" x14ac:dyDescent="0.3">
      <c r="A247" s="3" t="s">
        <v>301</v>
      </c>
      <c r="B247">
        <v>12788.3</v>
      </c>
    </row>
    <row r="248" spans="1:2" x14ac:dyDescent="0.3">
      <c r="A248" s="3" t="s">
        <v>302</v>
      </c>
      <c r="B248">
        <v>12751</v>
      </c>
    </row>
    <row r="249" spans="1:2" x14ac:dyDescent="0.3">
      <c r="A249" s="3" t="s">
        <v>303</v>
      </c>
      <c r="B249">
        <v>12716.2</v>
      </c>
    </row>
    <row r="250" spans="1:2" x14ac:dyDescent="0.3">
      <c r="A250" s="3" t="s">
        <v>304</v>
      </c>
      <c r="B250">
        <v>12713.2</v>
      </c>
    </row>
    <row r="251" spans="1:2" x14ac:dyDescent="0.3">
      <c r="A251" s="3" t="s">
        <v>305</v>
      </c>
      <c r="B251">
        <v>12700.7</v>
      </c>
    </row>
    <row r="252" spans="1:2" x14ac:dyDescent="0.3">
      <c r="A252" s="3" t="s">
        <v>306</v>
      </c>
      <c r="B252">
        <v>12650.8</v>
      </c>
    </row>
    <row r="253" spans="1:2" x14ac:dyDescent="0.3">
      <c r="A253" s="3" t="s">
        <v>307</v>
      </c>
      <c r="B253">
        <v>12647.5</v>
      </c>
    </row>
    <row r="254" spans="1:2" x14ac:dyDescent="0.3">
      <c r="A254" s="3" t="s">
        <v>308</v>
      </c>
      <c r="B254">
        <v>12593.2</v>
      </c>
    </row>
    <row r="255" spans="1:2" x14ac:dyDescent="0.3">
      <c r="A255" s="3" t="s">
        <v>309</v>
      </c>
      <c r="B255">
        <v>12593</v>
      </c>
    </row>
    <row r="256" spans="1:2" x14ac:dyDescent="0.3">
      <c r="A256" s="3" t="s">
        <v>310</v>
      </c>
      <c r="B256">
        <v>12566.2</v>
      </c>
    </row>
    <row r="257" spans="1:2" x14ac:dyDescent="0.3">
      <c r="A257" s="3" t="s">
        <v>311</v>
      </c>
      <c r="B257">
        <v>12421.7</v>
      </c>
    </row>
    <row r="258" spans="1:2" x14ac:dyDescent="0.3">
      <c r="A258" s="3" t="s">
        <v>312</v>
      </c>
      <c r="B258">
        <v>12403.3</v>
      </c>
    </row>
    <row r="259" spans="1:2" x14ac:dyDescent="0.3">
      <c r="A259" s="3" t="s">
        <v>313</v>
      </c>
      <c r="B259">
        <v>12394.6</v>
      </c>
    </row>
    <row r="260" spans="1:2" x14ac:dyDescent="0.3">
      <c r="A260" s="3" t="s">
        <v>314</v>
      </c>
      <c r="B260">
        <v>12324.9</v>
      </c>
    </row>
    <row r="261" spans="1:2" x14ac:dyDescent="0.3">
      <c r="A261" s="3" t="s">
        <v>315</v>
      </c>
      <c r="B261">
        <v>12209.5</v>
      </c>
    </row>
    <row r="262" spans="1:2" x14ac:dyDescent="0.3">
      <c r="A262" s="3" t="s">
        <v>316</v>
      </c>
      <c r="B262">
        <v>12151.3</v>
      </c>
    </row>
    <row r="263" spans="1:2" x14ac:dyDescent="0.3">
      <c r="A263" s="3" t="s">
        <v>317</v>
      </c>
      <c r="B263">
        <v>12136.7</v>
      </c>
    </row>
    <row r="264" spans="1:2" x14ac:dyDescent="0.3">
      <c r="A264" s="3" t="s">
        <v>318</v>
      </c>
      <c r="B264">
        <v>12099.6</v>
      </c>
    </row>
    <row r="265" spans="1:2" x14ac:dyDescent="0.3">
      <c r="A265" s="3" t="s">
        <v>319</v>
      </c>
      <c r="B265">
        <v>12094.7</v>
      </c>
    </row>
    <row r="266" spans="1:2" x14ac:dyDescent="0.3">
      <c r="A266" s="3" t="s">
        <v>320</v>
      </c>
      <c r="B266">
        <v>11966.9</v>
      </c>
    </row>
    <row r="267" spans="1:2" x14ac:dyDescent="0.3">
      <c r="A267" s="3" t="s">
        <v>321</v>
      </c>
      <c r="B267">
        <v>11879.6</v>
      </c>
    </row>
    <row r="268" spans="1:2" x14ac:dyDescent="0.3">
      <c r="A268" s="3" t="s">
        <v>322</v>
      </c>
      <c r="B268">
        <v>11853.7</v>
      </c>
    </row>
    <row r="269" spans="1:2" x14ac:dyDescent="0.3">
      <c r="A269" s="3" t="s">
        <v>323</v>
      </c>
      <c r="B269">
        <v>11821.6</v>
      </c>
    </row>
    <row r="270" spans="1:2" x14ac:dyDescent="0.3">
      <c r="A270" s="3" t="s">
        <v>324</v>
      </c>
      <c r="B270">
        <v>11817.1</v>
      </c>
    </row>
    <row r="271" spans="1:2" x14ac:dyDescent="0.3">
      <c r="A271" s="3" t="s">
        <v>325</v>
      </c>
      <c r="B271">
        <v>11783.3</v>
      </c>
    </row>
    <row r="272" spans="1:2" x14ac:dyDescent="0.3">
      <c r="A272" s="3" t="s">
        <v>326</v>
      </c>
      <c r="B272">
        <v>11721</v>
      </c>
    </row>
    <row r="273" spans="1:2" x14ac:dyDescent="0.3">
      <c r="A273" s="3" t="s">
        <v>328</v>
      </c>
      <c r="B273">
        <v>11715.1</v>
      </c>
    </row>
    <row r="274" spans="1:2" x14ac:dyDescent="0.3">
      <c r="A274" s="3" t="s">
        <v>329</v>
      </c>
      <c r="B274">
        <v>11678.7</v>
      </c>
    </row>
    <row r="275" spans="1:2" x14ac:dyDescent="0.3">
      <c r="A275" s="3" t="s">
        <v>330</v>
      </c>
      <c r="B275">
        <v>11640.6</v>
      </c>
    </row>
    <row r="276" spans="1:2" x14ac:dyDescent="0.3">
      <c r="A276" s="3" t="s">
        <v>332</v>
      </c>
      <c r="B276">
        <v>11632.9</v>
      </c>
    </row>
    <row r="277" spans="1:2" x14ac:dyDescent="0.3">
      <c r="A277" s="3" t="s">
        <v>333</v>
      </c>
      <c r="B277">
        <v>11588.8</v>
      </c>
    </row>
    <row r="278" spans="1:2" x14ac:dyDescent="0.3">
      <c r="A278" s="3" t="s">
        <v>334</v>
      </c>
      <c r="B278">
        <v>11575.2</v>
      </c>
    </row>
    <row r="279" spans="1:2" x14ac:dyDescent="0.3">
      <c r="A279" s="3" t="s">
        <v>335</v>
      </c>
      <c r="B279">
        <v>11566.2</v>
      </c>
    </row>
    <row r="280" spans="1:2" x14ac:dyDescent="0.3">
      <c r="A280" s="3" t="s">
        <v>337</v>
      </c>
      <c r="B280">
        <v>11481.4</v>
      </c>
    </row>
    <row r="281" spans="1:2" x14ac:dyDescent="0.3">
      <c r="A281" s="3" t="s">
        <v>339</v>
      </c>
      <c r="B281">
        <v>11480.4</v>
      </c>
    </row>
    <row r="282" spans="1:2" x14ac:dyDescent="0.3">
      <c r="A282" s="3" t="s">
        <v>340</v>
      </c>
      <c r="B282">
        <v>11475.1</v>
      </c>
    </row>
    <row r="283" spans="1:2" x14ac:dyDescent="0.3">
      <c r="A283" s="3" t="s">
        <v>341</v>
      </c>
      <c r="B283">
        <v>11459.5</v>
      </c>
    </row>
    <row r="284" spans="1:2" x14ac:dyDescent="0.3">
      <c r="A284" s="3" t="s">
        <v>342</v>
      </c>
      <c r="B284">
        <v>11428.5</v>
      </c>
    </row>
    <row r="285" spans="1:2" x14ac:dyDescent="0.3">
      <c r="A285" s="3" t="s">
        <v>343</v>
      </c>
      <c r="B285">
        <v>11314.2</v>
      </c>
    </row>
    <row r="286" spans="1:2" x14ac:dyDescent="0.3">
      <c r="A286" s="3" t="s">
        <v>344</v>
      </c>
      <c r="B286">
        <v>11238.2</v>
      </c>
    </row>
    <row r="287" spans="1:2" x14ac:dyDescent="0.3">
      <c r="A287" s="3" t="s">
        <v>345</v>
      </c>
      <c r="B287">
        <v>11232.6</v>
      </c>
    </row>
    <row r="288" spans="1:2" x14ac:dyDescent="0.3">
      <c r="A288" s="3" t="s">
        <v>346</v>
      </c>
      <c r="B288">
        <v>11198.8</v>
      </c>
    </row>
    <row r="289" spans="1:2" x14ac:dyDescent="0.3">
      <c r="A289" s="3" t="s">
        <v>347</v>
      </c>
      <c r="B289">
        <v>11196</v>
      </c>
    </row>
    <row r="290" spans="1:2" x14ac:dyDescent="0.3">
      <c r="A290" s="3" t="s">
        <v>348</v>
      </c>
      <c r="B290">
        <v>11149</v>
      </c>
    </row>
    <row r="291" spans="1:2" x14ac:dyDescent="0.3">
      <c r="A291" s="3" t="s">
        <v>351</v>
      </c>
      <c r="B291">
        <v>11063.6</v>
      </c>
    </row>
    <row r="292" spans="1:2" x14ac:dyDescent="0.3">
      <c r="A292" s="3" t="s">
        <v>352</v>
      </c>
      <c r="B292">
        <v>11060.5</v>
      </c>
    </row>
    <row r="293" spans="1:2" x14ac:dyDescent="0.3">
      <c r="A293" s="3" t="s">
        <v>353</v>
      </c>
      <c r="B293">
        <v>11051.4</v>
      </c>
    </row>
    <row r="294" spans="1:2" x14ac:dyDescent="0.3">
      <c r="A294" s="3" t="s">
        <v>354</v>
      </c>
      <c r="B294">
        <v>11014.9</v>
      </c>
    </row>
    <row r="295" spans="1:2" x14ac:dyDescent="0.3">
      <c r="A295" s="3" t="s">
        <v>355</v>
      </c>
      <c r="B295">
        <v>10985.7</v>
      </c>
    </row>
    <row r="296" spans="1:2" x14ac:dyDescent="0.3">
      <c r="A296" s="3" t="s">
        <v>356</v>
      </c>
      <c r="B296">
        <v>10974</v>
      </c>
    </row>
    <row r="297" spans="1:2" x14ac:dyDescent="0.3">
      <c r="A297" s="3" t="s">
        <v>357</v>
      </c>
      <c r="B297">
        <v>10968.8</v>
      </c>
    </row>
    <row r="298" spans="1:2" x14ac:dyDescent="0.3">
      <c r="A298" s="3" t="s">
        <v>358</v>
      </c>
      <c r="B298">
        <v>10939.4</v>
      </c>
    </row>
    <row r="299" spans="1:2" x14ac:dyDescent="0.3">
      <c r="A299" s="3" t="s">
        <v>359</v>
      </c>
      <c r="B299">
        <v>10933.4</v>
      </c>
    </row>
    <row r="300" spans="1:2" x14ac:dyDescent="0.3">
      <c r="A300" s="3" t="s">
        <v>360</v>
      </c>
      <c r="B300">
        <v>10914.2</v>
      </c>
    </row>
    <row r="301" spans="1:2" x14ac:dyDescent="0.3">
      <c r="A301" s="3" t="s">
        <v>361</v>
      </c>
      <c r="B301">
        <v>10902.6</v>
      </c>
    </row>
    <row r="302" spans="1:2" x14ac:dyDescent="0.3">
      <c r="A302" s="3" t="s">
        <v>362</v>
      </c>
      <c r="B302">
        <v>10783.2</v>
      </c>
    </row>
    <row r="303" spans="1:2" x14ac:dyDescent="0.3">
      <c r="A303" s="3" t="s">
        <v>363</v>
      </c>
      <c r="B303">
        <v>10776.2</v>
      </c>
    </row>
    <row r="304" spans="1:2" x14ac:dyDescent="0.3">
      <c r="A304" s="3" t="s">
        <v>364</v>
      </c>
      <c r="B304">
        <v>10772</v>
      </c>
    </row>
    <row r="305" spans="1:2" x14ac:dyDescent="0.3">
      <c r="A305" s="3" t="s">
        <v>365</v>
      </c>
      <c r="B305">
        <v>10771.3</v>
      </c>
    </row>
    <row r="306" spans="1:2" x14ac:dyDescent="0.3">
      <c r="A306" s="3" t="s">
        <v>366</v>
      </c>
      <c r="B306">
        <v>10767.6</v>
      </c>
    </row>
    <row r="307" spans="1:2" x14ac:dyDescent="0.3">
      <c r="A307" s="3" t="s">
        <v>367</v>
      </c>
      <c r="B307">
        <v>10760.4</v>
      </c>
    </row>
    <row r="308" spans="1:2" x14ac:dyDescent="0.3">
      <c r="A308" s="3" t="s">
        <v>368</v>
      </c>
      <c r="B308">
        <v>10756.4</v>
      </c>
    </row>
    <row r="309" spans="1:2" x14ac:dyDescent="0.3">
      <c r="A309" s="3" t="s">
        <v>369</v>
      </c>
      <c r="B309">
        <v>10731.7</v>
      </c>
    </row>
    <row r="310" spans="1:2" x14ac:dyDescent="0.3">
      <c r="A310" s="3" t="s">
        <v>370</v>
      </c>
      <c r="B310">
        <v>10712.8</v>
      </c>
    </row>
    <row r="311" spans="1:2" x14ac:dyDescent="0.3">
      <c r="A311" s="3" t="s">
        <v>371</v>
      </c>
      <c r="B311">
        <v>10711.2</v>
      </c>
    </row>
    <row r="312" spans="1:2" x14ac:dyDescent="0.3">
      <c r="A312" s="3" t="s">
        <v>372</v>
      </c>
      <c r="B312">
        <v>10696.6</v>
      </c>
    </row>
    <row r="313" spans="1:2" x14ac:dyDescent="0.3">
      <c r="A313" s="3" t="s">
        <v>373</v>
      </c>
      <c r="B313">
        <v>10616.1</v>
      </c>
    </row>
    <row r="314" spans="1:2" x14ac:dyDescent="0.3">
      <c r="A314" s="3" t="s">
        <v>374</v>
      </c>
      <c r="B314">
        <v>10607</v>
      </c>
    </row>
    <row r="315" spans="1:2" x14ac:dyDescent="0.3">
      <c r="A315" s="3" t="s">
        <v>375</v>
      </c>
      <c r="B315">
        <v>10571.1</v>
      </c>
    </row>
    <row r="316" spans="1:2" x14ac:dyDescent="0.3">
      <c r="A316" s="3" t="s">
        <v>376</v>
      </c>
      <c r="B316">
        <v>10489.6</v>
      </c>
    </row>
    <row r="317" spans="1:2" x14ac:dyDescent="0.3">
      <c r="A317" s="3" t="s">
        <v>377</v>
      </c>
      <c r="B317">
        <v>10476.9</v>
      </c>
    </row>
    <row r="318" spans="1:2" x14ac:dyDescent="0.3">
      <c r="A318" s="3" t="s">
        <v>378</v>
      </c>
      <c r="B318">
        <v>10449</v>
      </c>
    </row>
    <row r="319" spans="1:2" x14ac:dyDescent="0.3">
      <c r="A319" s="3" t="s">
        <v>379</v>
      </c>
      <c r="B319">
        <v>10368.700000000001</v>
      </c>
    </row>
    <row r="320" spans="1:2" x14ac:dyDescent="0.3">
      <c r="A320" s="3" t="s">
        <v>380</v>
      </c>
      <c r="B320">
        <v>10352.799999999999</v>
      </c>
    </row>
    <row r="321" spans="1:2" x14ac:dyDescent="0.3">
      <c r="A321" s="3" t="s">
        <v>381</v>
      </c>
      <c r="B321">
        <v>10332.799999999999</v>
      </c>
    </row>
    <row r="322" spans="1:2" x14ac:dyDescent="0.3">
      <c r="A322" s="3" t="s">
        <v>383</v>
      </c>
      <c r="B322">
        <v>10313.5</v>
      </c>
    </row>
    <row r="323" spans="1:2" x14ac:dyDescent="0.3">
      <c r="A323" s="3" t="s">
        <v>384</v>
      </c>
      <c r="B323">
        <v>10293</v>
      </c>
    </row>
    <row r="324" spans="1:2" x14ac:dyDescent="0.3">
      <c r="A324" s="3" t="s">
        <v>385</v>
      </c>
      <c r="B324">
        <v>10290.6</v>
      </c>
    </row>
    <row r="325" spans="1:2" x14ac:dyDescent="0.3">
      <c r="A325" s="3" t="s">
        <v>386</v>
      </c>
      <c r="B325">
        <v>10234.299999999999</v>
      </c>
    </row>
    <row r="326" spans="1:2" x14ac:dyDescent="0.3">
      <c r="A326" s="3" t="s">
        <v>388</v>
      </c>
      <c r="B326">
        <v>10231.200000000001</v>
      </c>
    </row>
    <row r="327" spans="1:2" x14ac:dyDescent="0.3">
      <c r="A327" s="3" t="s">
        <v>389</v>
      </c>
      <c r="B327">
        <v>10180.200000000001</v>
      </c>
    </row>
    <row r="328" spans="1:2" x14ac:dyDescent="0.3">
      <c r="A328" s="3" t="s">
        <v>390</v>
      </c>
      <c r="B328">
        <v>10179.299999999999</v>
      </c>
    </row>
    <row r="329" spans="1:2" x14ac:dyDescent="0.3">
      <c r="A329" s="3" t="s">
        <v>391</v>
      </c>
      <c r="B329">
        <v>10165</v>
      </c>
    </row>
    <row r="330" spans="1:2" x14ac:dyDescent="0.3">
      <c r="A330" s="3" t="s">
        <v>392</v>
      </c>
      <c r="B330">
        <v>10160.5</v>
      </c>
    </row>
    <row r="331" spans="1:2" x14ac:dyDescent="0.3">
      <c r="A331" s="3" t="s">
        <v>595</v>
      </c>
      <c r="B331">
        <v>10147.9</v>
      </c>
    </row>
    <row r="332" spans="1:2" x14ac:dyDescent="0.3">
      <c r="A332" s="3" t="s">
        <v>393</v>
      </c>
      <c r="B332">
        <v>10141.700000000001</v>
      </c>
    </row>
    <row r="333" spans="1:2" x14ac:dyDescent="0.3">
      <c r="A333" s="3" t="s">
        <v>394</v>
      </c>
      <c r="B333">
        <v>10122.5</v>
      </c>
    </row>
    <row r="334" spans="1:2" x14ac:dyDescent="0.3">
      <c r="A334" s="3" t="s">
        <v>395</v>
      </c>
      <c r="B334">
        <v>10115.700000000001</v>
      </c>
    </row>
    <row r="335" spans="1:2" x14ac:dyDescent="0.3">
      <c r="A335" s="3" t="s">
        <v>396</v>
      </c>
      <c r="B335">
        <v>10108</v>
      </c>
    </row>
    <row r="336" spans="1:2" x14ac:dyDescent="0.3">
      <c r="A336" s="3" t="s">
        <v>397</v>
      </c>
      <c r="B336">
        <v>10095.5</v>
      </c>
    </row>
    <row r="337" spans="1:2" x14ac:dyDescent="0.3">
      <c r="A337" s="3" t="s">
        <v>398</v>
      </c>
      <c r="B337">
        <v>10048.299999999999</v>
      </c>
    </row>
    <row r="338" spans="1:2" x14ac:dyDescent="0.3">
      <c r="A338" s="3" t="s">
        <v>399</v>
      </c>
      <c r="B338">
        <v>9970.2000000000007</v>
      </c>
    </row>
    <row r="339" spans="1:2" x14ac:dyDescent="0.3">
      <c r="A339" s="3" t="s">
        <v>400</v>
      </c>
      <c r="B339">
        <v>9949.6</v>
      </c>
    </row>
    <row r="340" spans="1:2" x14ac:dyDescent="0.3">
      <c r="A340" s="3" t="s">
        <v>401</v>
      </c>
      <c r="B340">
        <v>9948.7000000000007</v>
      </c>
    </row>
    <row r="341" spans="1:2" x14ac:dyDescent="0.3">
      <c r="A341" s="3" t="s">
        <v>402</v>
      </c>
      <c r="B341">
        <v>9933.4</v>
      </c>
    </row>
    <row r="342" spans="1:2" x14ac:dyDescent="0.3">
      <c r="A342" s="3" t="s">
        <v>403</v>
      </c>
      <c r="B342">
        <v>9914.5</v>
      </c>
    </row>
    <row r="343" spans="1:2" x14ac:dyDescent="0.3">
      <c r="A343" s="3" t="s">
        <v>404</v>
      </c>
      <c r="B343">
        <v>9914.4</v>
      </c>
    </row>
    <row r="344" spans="1:2" x14ac:dyDescent="0.3">
      <c r="A344" s="3" t="s">
        <v>405</v>
      </c>
      <c r="B344">
        <v>9909.5</v>
      </c>
    </row>
    <row r="345" spans="1:2" x14ac:dyDescent="0.3">
      <c r="A345" s="3" t="s">
        <v>406</v>
      </c>
      <c r="B345">
        <v>9899.4</v>
      </c>
    </row>
    <row r="346" spans="1:2" x14ac:dyDescent="0.3">
      <c r="A346" s="3" t="s">
        <v>409</v>
      </c>
      <c r="B346">
        <v>9869.2999999999993</v>
      </c>
    </row>
    <row r="347" spans="1:2" x14ac:dyDescent="0.3">
      <c r="A347" s="3" t="s">
        <v>410</v>
      </c>
      <c r="B347">
        <v>9862.6</v>
      </c>
    </row>
    <row r="348" spans="1:2" x14ac:dyDescent="0.3">
      <c r="A348" s="3" t="s">
        <v>411</v>
      </c>
      <c r="B348">
        <v>9859.6</v>
      </c>
    </row>
    <row r="349" spans="1:2" x14ac:dyDescent="0.3">
      <c r="A349" s="3" t="s">
        <v>412</v>
      </c>
      <c r="B349">
        <v>9854</v>
      </c>
    </row>
    <row r="350" spans="1:2" x14ac:dyDescent="0.3">
      <c r="A350" s="3" t="s">
        <v>413</v>
      </c>
      <c r="B350">
        <v>9797.7999999999993</v>
      </c>
    </row>
    <row r="351" spans="1:2" x14ac:dyDescent="0.3">
      <c r="A351" s="3" t="s">
        <v>414</v>
      </c>
      <c r="B351">
        <v>9734</v>
      </c>
    </row>
    <row r="352" spans="1:2" x14ac:dyDescent="0.3">
      <c r="A352" s="3" t="s">
        <v>415</v>
      </c>
      <c r="B352">
        <v>9713</v>
      </c>
    </row>
    <row r="353" spans="1:2" x14ac:dyDescent="0.3">
      <c r="A353" s="3" t="s">
        <v>416</v>
      </c>
      <c r="B353">
        <v>9666.1</v>
      </c>
    </row>
    <row r="354" spans="1:2" x14ac:dyDescent="0.3">
      <c r="A354" s="3" t="s">
        <v>417</v>
      </c>
      <c r="B354">
        <v>9609</v>
      </c>
    </row>
    <row r="355" spans="1:2" x14ac:dyDescent="0.3">
      <c r="A355" s="3" t="s">
        <v>418</v>
      </c>
      <c r="B355">
        <v>9513.7000000000007</v>
      </c>
    </row>
    <row r="356" spans="1:2" x14ac:dyDescent="0.3">
      <c r="A356" s="3" t="s">
        <v>419</v>
      </c>
      <c r="B356">
        <v>9513</v>
      </c>
    </row>
    <row r="357" spans="1:2" x14ac:dyDescent="0.3">
      <c r="A357" s="3" t="s">
        <v>420</v>
      </c>
      <c r="B357">
        <v>9503.2999999999993</v>
      </c>
    </row>
    <row r="358" spans="1:2" x14ac:dyDescent="0.3">
      <c r="A358" s="3" t="s">
        <v>421</v>
      </c>
      <c r="B358">
        <v>9495.2000000000007</v>
      </c>
    </row>
    <row r="359" spans="1:2" x14ac:dyDescent="0.3">
      <c r="A359" s="3" t="s">
        <v>422</v>
      </c>
      <c r="B359">
        <v>9439.9</v>
      </c>
    </row>
    <row r="360" spans="1:2" x14ac:dyDescent="0.3">
      <c r="A360" s="3" t="s">
        <v>423</v>
      </c>
      <c r="B360">
        <v>9437.2999999999993</v>
      </c>
    </row>
    <row r="361" spans="1:2" x14ac:dyDescent="0.3">
      <c r="A361" s="3" t="s">
        <v>424</v>
      </c>
      <c r="B361">
        <v>9401</v>
      </c>
    </row>
    <row r="362" spans="1:2" x14ac:dyDescent="0.3">
      <c r="A362" s="3" t="s">
        <v>425</v>
      </c>
      <c r="B362">
        <v>9362.2999999999993</v>
      </c>
    </row>
    <row r="363" spans="1:2" x14ac:dyDescent="0.3">
      <c r="A363" s="3" t="s">
        <v>426</v>
      </c>
      <c r="B363">
        <v>9340.1</v>
      </c>
    </row>
    <row r="364" spans="1:2" x14ac:dyDescent="0.3">
      <c r="A364" s="3" t="s">
        <v>427</v>
      </c>
      <c r="B364">
        <v>9314.7999999999993</v>
      </c>
    </row>
    <row r="365" spans="1:2" x14ac:dyDescent="0.3">
      <c r="A365" s="3" t="s">
        <v>428</v>
      </c>
      <c r="B365">
        <v>9302.9</v>
      </c>
    </row>
    <row r="366" spans="1:2" x14ac:dyDescent="0.3">
      <c r="A366" s="3" t="s">
        <v>429</v>
      </c>
      <c r="B366">
        <v>9290.9</v>
      </c>
    </row>
    <row r="367" spans="1:2" x14ac:dyDescent="0.3">
      <c r="A367" s="3" t="s">
        <v>430</v>
      </c>
      <c r="B367">
        <v>9213.5</v>
      </c>
    </row>
    <row r="368" spans="1:2" x14ac:dyDescent="0.3">
      <c r="A368" s="3" t="s">
        <v>431</v>
      </c>
      <c r="B368">
        <v>9212.4</v>
      </c>
    </row>
    <row r="369" spans="1:2" x14ac:dyDescent="0.3">
      <c r="A369" s="3" t="s">
        <v>432</v>
      </c>
      <c r="B369">
        <v>9206.7000000000007</v>
      </c>
    </row>
    <row r="370" spans="1:2" x14ac:dyDescent="0.3">
      <c r="A370" s="3" t="s">
        <v>433</v>
      </c>
      <c r="B370">
        <v>9177.5</v>
      </c>
    </row>
    <row r="371" spans="1:2" x14ac:dyDescent="0.3">
      <c r="A371" s="3" t="s">
        <v>434</v>
      </c>
      <c r="B371">
        <v>9121.6</v>
      </c>
    </row>
    <row r="372" spans="1:2" x14ac:dyDescent="0.3">
      <c r="A372" s="3" t="s">
        <v>435</v>
      </c>
      <c r="B372">
        <v>9115.7000000000007</v>
      </c>
    </row>
    <row r="373" spans="1:2" x14ac:dyDescent="0.3">
      <c r="A373" s="3" t="s">
        <v>436</v>
      </c>
      <c r="B373">
        <v>9107.5</v>
      </c>
    </row>
    <row r="374" spans="1:2" x14ac:dyDescent="0.3">
      <c r="A374" s="3" t="s">
        <v>437</v>
      </c>
      <c r="B374">
        <v>9084.9</v>
      </c>
    </row>
    <row r="375" spans="1:2" x14ac:dyDescent="0.3">
      <c r="A375" s="3" t="s">
        <v>438</v>
      </c>
      <c r="B375">
        <v>9076.4</v>
      </c>
    </row>
    <row r="376" spans="1:2" x14ac:dyDescent="0.3">
      <c r="A376" s="3" t="s">
        <v>439</v>
      </c>
      <c r="B376">
        <v>9056.5</v>
      </c>
    </row>
    <row r="377" spans="1:2" x14ac:dyDescent="0.3">
      <c r="A377" s="3" t="s">
        <v>441</v>
      </c>
      <c r="B377">
        <v>8988.2000000000007</v>
      </c>
    </row>
    <row r="378" spans="1:2" x14ac:dyDescent="0.3">
      <c r="A378" s="3" t="s">
        <v>442</v>
      </c>
      <c r="B378">
        <v>8965</v>
      </c>
    </row>
    <row r="379" spans="1:2" x14ac:dyDescent="0.3">
      <c r="A379" s="3" t="s">
        <v>443</v>
      </c>
      <c r="B379">
        <v>8960.1</v>
      </c>
    </row>
    <row r="380" spans="1:2" x14ac:dyDescent="0.3">
      <c r="A380" s="3" t="s">
        <v>444</v>
      </c>
      <c r="B380">
        <v>8927.6</v>
      </c>
    </row>
    <row r="381" spans="1:2" x14ac:dyDescent="0.3">
      <c r="A381" s="3" t="s">
        <v>445</v>
      </c>
      <c r="B381">
        <v>8916</v>
      </c>
    </row>
    <row r="382" spans="1:2" x14ac:dyDescent="0.3">
      <c r="A382" s="3" t="s">
        <v>446</v>
      </c>
      <c r="B382">
        <v>8909.9</v>
      </c>
    </row>
    <row r="383" spans="1:2" x14ac:dyDescent="0.3">
      <c r="A383" s="3" t="s">
        <v>447</v>
      </c>
      <c r="B383">
        <v>8906.9</v>
      </c>
    </row>
    <row r="384" spans="1:2" x14ac:dyDescent="0.3">
      <c r="A384" s="3" t="s">
        <v>448</v>
      </c>
      <c r="B384">
        <v>8899.6</v>
      </c>
    </row>
    <row r="385" spans="1:2" x14ac:dyDescent="0.3">
      <c r="A385" s="3" t="s">
        <v>449</v>
      </c>
      <c r="B385">
        <v>8848.2999999999993</v>
      </c>
    </row>
    <row r="386" spans="1:2" x14ac:dyDescent="0.3">
      <c r="A386" s="3" t="s">
        <v>450</v>
      </c>
      <c r="B386">
        <v>8831</v>
      </c>
    </row>
    <row r="387" spans="1:2" x14ac:dyDescent="0.3">
      <c r="A387" s="3" t="s">
        <v>451</v>
      </c>
      <c r="B387">
        <v>8828.7999999999993</v>
      </c>
    </row>
    <row r="388" spans="1:2" x14ac:dyDescent="0.3">
      <c r="A388" s="3" t="s">
        <v>452</v>
      </c>
      <c r="B388">
        <v>8809.4</v>
      </c>
    </row>
    <row r="389" spans="1:2" x14ac:dyDescent="0.3">
      <c r="A389" s="3" t="s">
        <v>453</v>
      </c>
      <c r="B389">
        <v>8801.6</v>
      </c>
    </row>
    <row r="390" spans="1:2" x14ac:dyDescent="0.3">
      <c r="A390" s="3" t="s">
        <v>454</v>
      </c>
      <c r="B390">
        <v>8780.4</v>
      </c>
    </row>
    <row r="391" spans="1:2" x14ac:dyDescent="0.3">
      <c r="A391" s="3" t="s">
        <v>456</v>
      </c>
      <c r="B391">
        <v>8779.9</v>
      </c>
    </row>
    <row r="392" spans="1:2" x14ac:dyDescent="0.3">
      <c r="A392" s="3" t="s">
        <v>457</v>
      </c>
      <c r="B392">
        <v>8733</v>
      </c>
    </row>
    <row r="393" spans="1:2" x14ac:dyDescent="0.3">
      <c r="A393" s="3" t="s">
        <v>458</v>
      </c>
      <c r="B393">
        <v>8715.2000000000007</v>
      </c>
    </row>
    <row r="394" spans="1:2" x14ac:dyDescent="0.3">
      <c r="A394" s="3" t="s">
        <v>459</v>
      </c>
      <c r="B394">
        <v>8706.4</v>
      </c>
    </row>
    <row r="395" spans="1:2" x14ac:dyDescent="0.3">
      <c r="A395" s="3" t="s">
        <v>460</v>
      </c>
      <c r="B395">
        <v>8699.2000000000007</v>
      </c>
    </row>
    <row r="396" spans="1:2" x14ac:dyDescent="0.3">
      <c r="A396" s="3" t="s">
        <v>462</v>
      </c>
      <c r="B396">
        <v>8647.7999999999993</v>
      </c>
    </row>
    <row r="397" spans="1:2" x14ac:dyDescent="0.3">
      <c r="A397" s="3" t="s">
        <v>463</v>
      </c>
      <c r="B397">
        <v>8622.1</v>
      </c>
    </row>
    <row r="398" spans="1:2" x14ac:dyDescent="0.3">
      <c r="A398" s="3" t="s">
        <v>464</v>
      </c>
      <c r="B398">
        <v>8617.1</v>
      </c>
    </row>
    <row r="399" spans="1:2" x14ac:dyDescent="0.3">
      <c r="A399" s="3" t="s">
        <v>465</v>
      </c>
      <c r="B399">
        <v>8591.1</v>
      </c>
    </row>
    <row r="400" spans="1:2" x14ac:dyDescent="0.3">
      <c r="A400" s="3" t="s">
        <v>466</v>
      </c>
      <c r="B400">
        <v>8584.2000000000007</v>
      </c>
    </row>
    <row r="401" spans="1:2" x14ac:dyDescent="0.3">
      <c r="A401" s="3" t="s">
        <v>467</v>
      </c>
      <c r="B401">
        <v>8564.5</v>
      </c>
    </row>
    <row r="402" spans="1:2" x14ac:dyDescent="0.3">
      <c r="A402" s="3" t="s">
        <v>468</v>
      </c>
      <c r="B402">
        <v>8564.4</v>
      </c>
    </row>
    <row r="403" spans="1:2" x14ac:dyDescent="0.3">
      <c r="A403" s="3" t="s">
        <v>469</v>
      </c>
      <c r="B403">
        <v>8551.4</v>
      </c>
    </row>
    <row r="404" spans="1:2" x14ac:dyDescent="0.3">
      <c r="A404" s="3" t="s">
        <v>470</v>
      </c>
      <c r="B404">
        <v>8531.2999999999993</v>
      </c>
    </row>
    <row r="405" spans="1:2" x14ac:dyDescent="0.3">
      <c r="A405" s="3" t="s">
        <v>471</v>
      </c>
      <c r="B405">
        <v>8509.5</v>
      </c>
    </row>
    <row r="406" spans="1:2" x14ac:dyDescent="0.3">
      <c r="A406" s="3" t="s">
        <v>472</v>
      </c>
      <c r="B406">
        <v>8507.9</v>
      </c>
    </row>
    <row r="407" spans="1:2" x14ac:dyDescent="0.3">
      <c r="A407" s="3" t="s">
        <v>473</v>
      </c>
      <c r="B407">
        <v>8485.9</v>
      </c>
    </row>
    <row r="408" spans="1:2" x14ac:dyDescent="0.3">
      <c r="A408" s="3" t="s">
        <v>474</v>
      </c>
      <c r="B408">
        <v>8472.9</v>
      </c>
    </row>
    <row r="409" spans="1:2" x14ac:dyDescent="0.3">
      <c r="A409" s="3" t="s">
        <v>475</v>
      </c>
      <c r="B409">
        <v>8457.4</v>
      </c>
    </row>
    <row r="410" spans="1:2" x14ac:dyDescent="0.3">
      <c r="A410" s="3" t="s">
        <v>476</v>
      </c>
      <c r="B410">
        <v>8453.7000000000007</v>
      </c>
    </row>
    <row r="411" spans="1:2" x14ac:dyDescent="0.3">
      <c r="A411" s="3" t="s">
        <v>477</v>
      </c>
      <c r="B411">
        <v>8439.5</v>
      </c>
    </row>
    <row r="412" spans="1:2" x14ac:dyDescent="0.3">
      <c r="A412" s="3" t="s">
        <v>479</v>
      </c>
      <c r="B412">
        <v>8433.7999999999993</v>
      </c>
    </row>
    <row r="413" spans="1:2" x14ac:dyDescent="0.3">
      <c r="A413" s="3" t="s">
        <v>480</v>
      </c>
      <c r="B413">
        <v>8382.9</v>
      </c>
    </row>
    <row r="414" spans="1:2" x14ac:dyDescent="0.3">
      <c r="A414" s="3" t="s">
        <v>481</v>
      </c>
      <c r="B414">
        <v>8371.5</v>
      </c>
    </row>
    <row r="415" spans="1:2" x14ac:dyDescent="0.3">
      <c r="A415" s="3" t="s">
        <v>482</v>
      </c>
      <c r="B415">
        <v>8370.9</v>
      </c>
    </row>
    <row r="416" spans="1:2" x14ac:dyDescent="0.3">
      <c r="A416" s="3" t="s">
        <v>483</v>
      </c>
      <c r="B416">
        <v>8366.2999999999993</v>
      </c>
    </row>
    <row r="417" spans="1:2" x14ac:dyDescent="0.3">
      <c r="A417" s="3" t="s">
        <v>484</v>
      </c>
      <c r="B417">
        <v>8339.2999999999993</v>
      </c>
    </row>
    <row r="418" spans="1:2" x14ac:dyDescent="0.3">
      <c r="A418" s="3" t="s">
        <v>485</v>
      </c>
      <c r="B418">
        <v>8330.4</v>
      </c>
    </row>
    <row r="419" spans="1:2" x14ac:dyDescent="0.3">
      <c r="A419" s="3" t="s">
        <v>486</v>
      </c>
      <c r="B419">
        <v>8326.7000000000007</v>
      </c>
    </row>
    <row r="420" spans="1:2" x14ac:dyDescent="0.3">
      <c r="A420" s="3" t="s">
        <v>487</v>
      </c>
      <c r="B420">
        <v>8316.5</v>
      </c>
    </row>
    <row r="421" spans="1:2" x14ac:dyDescent="0.3">
      <c r="A421" s="3" t="s">
        <v>489</v>
      </c>
      <c r="B421">
        <v>8309.1</v>
      </c>
    </row>
    <row r="422" spans="1:2" x14ac:dyDescent="0.3">
      <c r="A422" s="3" t="s">
        <v>490</v>
      </c>
      <c r="B422">
        <v>8282.2999999999993</v>
      </c>
    </row>
    <row r="423" spans="1:2" x14ac:dyDescent="0.3">
      <c r="A423" s="3" t="s">
        <v>491</v>
      </c>
      <c r="B423">
        <v>8278.7000000000007</v>
      </c>
    </row>
    <row r="424" spans="1:2" x14ac:dyDescent="0.3">
      <c r="A424" s="3" t="s">
        <v>492</v>
      </c>
      <c r="B424">
        <v>8263</v>
      </c>
    </row>
    <row r="425" spans="1:2" x14ac:dyDescent="0.3">
      <c r="A425" s="3" t="s">
        <v>493</v>
      </c>
      <c r="B425">
        <v>8240.2000000000007</v>
      </c>
    </row>
    <row r="426" spans="1:2" x14ac:dyDescent="0.3">
      <c r="A426" s="3" t="s">
        <v>494</v>
      </c>
      <c r="B426">
        <v>8235.9</v>
      </c>
    </row>
    <row r="427" spans="1:2" x14ac:dyDescent="0.3">
      <c r="A427" s="3" t="s">
        <v>495</v>
      </c>
      <c r="B427">
        <v>8216.5</v>
      </c>
    </row>
    <row r="428" spans="1:2" x14ac:dyDescent="0.3">
      <c r="A428" s="3" t="s">
        <v>496</v>
      </c>
      <c r="B428">
        <v>8205.4</v>
      </c>
    </row>
    <row r="429" spans="1:2" x14ac:dyDescent="0.3">
      <c r="A429" s="3" t="s">
        <v>497</v>
      </c>
      <c r="B429">
        <v>8203</v>
      </c>
    </row>
    <row r="430" spans="1:2" x14ac:dyDescent="0.3">
      <c r="A430" s="3" t="s">
        <v>498</v>
      </c>
      <c r="B430">
        <v>8200.1</v>
      </c>
    </row>
    <row r="431" spans="1:2" x14ac:dyDescent="0.3">
      <c r="A431" s="3" t="s">
        <v>499</v>
      </c>
      <c r="B431">
        <v>8197.2000000000007</v>
      </c>
    </row>
    <row r="432" spans="1:2" x14ac:dyDescent="0.3">
      <c r="A432" s="3" t="s">
        <v>500</v>
      </c>
      <c r="B432">
        <v>8186.9</v>
      </c>
    </row>
    <row r="433" spans="1:2" x14ac:dyDescent="0.3">
      <c r="A433" s="3" t="s">
        <v>502</v>
      </c>
      <c r="B433">
        <v>8164.9</v>
      </c>
    </row>
    <row r="434" spans="1:2" x14ac:dyDescent="0.3">
      <c r="A434" s="3" t="s">
        <v>503</v>
      </c>
      <c r="B434">
        <v>8148</v>
      </c>
    </row>
    <row r="435" spans="1:2" x14ac:dyDescent="0.3">
      <c r="A435" s="3" t="s">
        <v>504</v>
      </c>
      <c r="B435">
        <v>8092.2</v>
      </c>
    </row>
    <row r="436" spans="1:2" x14ac:dyDescent="0.3">
      <c r="A436" s="3" t="s">
        <v>505</v>
      </c>
      <c r="B436">
        <v>8065.4</v>
      </c>
    </row>
    <row r="437" spans="1:2" x14ac:dyDescent="0.3">
      <c r="A437" s="3" t="s">
        <v>506</v>
      </c>
      <c r="B437">
        <v>8063.4</v>
      </c>
    </row>
    <row r="438" spans="1:2" x14ac:dyDescent="0.3">
      <c r="A438" s="3" t="s">
        <v>507</v>
      </c>
      <c r="B438">
        <v>8056.8</v>
      </c>
    </row>
    <row r="439" spans="1:2" x14ac:dyDescent="0.3">
      <c r="A439" s="3" t="s">
        <v>508</v>
      </c>
      <c r="B439">
        <v>8043.6</v>
      </c>
    </row>
    <row r="440" spans="1:2" x14ac:dyDescent="0.3">
      <c r="A440" s="3" t="s">
        <v>509</v>
      </c>
      <c r="B440">
        <v>8030.3</v>
      </c>
    </row>
    <row r="441" spans="1:2" x14ac:dyDescent="0.3">
      <c r="A441" s="3" t="s">
        <v>510</v>
      </c>
      <c r="B441">
        <v>8019.9</v>
      </c>
    </row>
    <row r="442" spans="1:2" x14ac:dyDescent="0.3">
      <c r="A442" s="3" t="s">
        <v>511</v>
      </c>
      <c r="B442">
        <v>8014.7</v>
      </c>
    </row>
    <row r="443" spans="1:2" x14ac:dyDescent="0.3">
      <c r="A443" s="3" t="s">
        <v>512</v>
      </c>
      <c r="B443">
        <v>7987.3</v>
      </c>
    </row>
    <row r="444" spans="1:2" x14ac:dyDescent="0.3">
      <c r="A444" s="3" t="s">
        <v>513</v>
      </c>
      <c r="B444">
        <v>7976.6</v>
      </c>
    </row>
    <row r="445" spans="1:2" x14ac:dyDescent="0.3">
      <c r="A445" s="3" t="s">
        <v>514</v>
      </c>
      <c r="B445">
        <v>7940.4</v>
      </c>
    </row>
    <row r="446" spans="1:2" x14ac:dyDescent="0.3">
      <c r="A446" s="3" t="s">
        <v>515</v>
      </c>
      <c r="B446">
        <v>7934.8</v>
      </c>
    </row>
    <row r="447" spans="1:2" x14ac:dyDescent="0.3">
      <c r="A447" s="3" t="s">
        <v>516</v>
      </c>
      <c r="B447">
        <v>7934.5</v>
      </c>
    </row>
    <row r="448" spans="1:2" x14ac:dyDescent="0.3">
      <c r="A448" s="3" t="s">
        <v>519</v>
      </c>
      <c r="B448">
        <v>7921.6</v>
      </c>
    </row>
    <row r="449" spans="1:2" x14ac:dyDescent="0.3">
      <c r="A449" s="3" t="s">
        <v>520</v>
      </c>
      <c r="B449">
        <v>7892.9</v>
      </c>
    </row>
    <row r="450" spans="1:2" x14ac:dyDescent="0.3">
      <c r="A450" s="3" t="s">
        <v>521</v>
      </c>
      <c r="B450">
        <v>7891.3</v>
      </c>
    </row>
    <row r="451" spans="1:2" x14ac:dyDescent="0.3">
      <c r="A451" s="3" t="s">
        <v>522</v>
      </c>
      <c r="B451">
        <v>7886.9</v>
      </c>
    </row>
    <row r="452" spans="1:2" x14ac:dyDescent="0.3">
      <c r="A452" s="3" t="s">
        <v>523</v>
      </c>
      <c r="B452">
        <v>7871.9</v>
      </c>
    </row>
    <row r="453" spans="1:2" x14ac:dyDescent="0.3">
      <c r="A453" s="3" t="s">
        <v>524</v>
      </c>
      <c r="B453">
        <v>7852.2</v>
      </c>
    </row>
    <row r="454" spans="1:2" x14ac:dyDescent="0.3">
      <c r="A454" s="3" t="s">
        <v>526</v>
      </c>
      <c r="B454">
        <v>7838.9</v>
      </c>
    </row>
    <row r="455" spans="1:2" x14ac:dyDescent="0.3">
      <c r="A455" s="3" t="s">
        <v>527</v>
      </c>
      <c r="B455">
        <v>7824.1</v>
      </c>
    </row>
    <row r="456" spans="1:2" x14ac:dyDescent="0.3">
      <c r="A456" s="3" t="s">
        <v>528</v>
      </c>
      <c r="B456">
        <v>7817.3</v>
      </c>
    </row>
    <row r="457" spans="1:2" x14ac:dyDescent="0.3">
      <c r="A457" s="3" t="s">
        <v>529</v>
      </c>
      <c r="B457">
        <v>7810.5</v>
      </c>
    </row>
    <row r="458" spans="1:2" x14ac:dyDescent="0.3">
      <c r="A458" s="3" t="s">
        <v>530</v>
      </c>
      <c r="B458">
        <v>7787.8</v>
      </c>
    </row>
    <row r="459" spans="1:2" x14ac:dyDescent="0.3">
      <c r="A459" s="3" t="s">
        <v>531</v>
      </c>
      <c r="B459">
        <v>7785.3</v>
      </c>
    </row>
    <row r="460" spans="1:2" x14ac:dyDescent="0.3">
      <c r="A460" s="3" t="s">
        <v>532</v>
      </c>
      <c r="B460">
        <v>7765.7</v>
      </c>
    </row>
    <row r="461" spans="1:2" x14ac:dyDescent="0.3">
      <c r="A461" s="3" t="s">
        <v>533</v>
      </c>
      <c r="B461">
        <v>7738.2</v>
      </c>
    </row>
    <row r="462" spans="1:2" x14ac:dyDescent="0.3">
      <c r="A462" s="3" t="s">
        <v>535</v>
      </c>
      <c r="B462">
        <v>7729.6</v>
      </c>
    </row>
    <row r="463" spans="1:2" x14ac:dyDescent="0.3">
      <c r="A463" s="3" t="s">
        <v>536</v>
      </c>
      <c r="B463">
        <v>7713.9</v>
      </c>
    </row>
    <row r="464" spans="1:2" x14ac:dyDescent="0.3">
      <c r="A464" s="3" t="s">
        <v>537</v>
      </c>
      <c r="B464">
        <v>7689.5</v>
      </c>
    </row>
    <row r="465" spans="1:2" x14ac:dyDescent="0.3">
      <c r="A465" s="3" t="s">
        <v>538</v>
      </c>
      <c r="B465">
        <v>7673.1</v>
      </c>
    </row>
    <row r="466" spans="1:2" x14ac:dyDescent="0.3">
      <c r="A466" s="3" t="s">
        <v>539</v>
      </c>
      <c r="B466">
        <v>7661.6</v>
      </c>
    </row>
    <row r="467" spans="1:2" x14ac:dyDescent="0.3">
      <c r="A467" s="3" t="s">
        <v>540</v>
      </c>
      <c r="B467">
        <v>7645.2</v>
      </c>
    </row>
    <row r="468" spans="1:2" x14ac:dyDescent="0.3">
      <c r="A468" s="3" t="s">
        <v>541</v>
      </c>
      <c r="B468">
        <v>7628.1</v>
      </c>
    </row>
    <row r="469" spans="1:2" x14ac:dyDescent="0.3">
      <c r="A469" s="3" t="s">
        <v>542</v>
      </c>
      <c r="B469">
        <v>7618.8</v>
      </c>
    </row>
    <row r="470" spans="1:2" x14ac:dyDescent="0.3">
      <c r="A470" s="3" t="s">
        <v>543</v>
      </c>
      <c r="B470">
        <v>7612.3</v>
      </c>
    </row>
    <row r="471" spans="1:2" x14ac:dyDescent="0.3">
      <c r="A471" s="3" t="s">
        <v>544</v>
      </c>
      <c r="B471">
        <v>7608.2</v>
      </c>
    </row>
    <row r="472" spans="1:2" x14ac:dyDescent="0.3">
      <c r="A472" s="3" t="s">
        <v>545</v>
      </c>
      <c r="B472">
        <v>7596.7</v>
      </c>
    </row>
    <row r="473" spans="1:2" x14ac:dyDescent="0.3">
      <c r="A473" s="3" t="s">
        <v>546</v>
      </c>
      <c r="B473">
        <v>7589.1</v>
      </c>
    </row>
    <row r="474" spans="1:2" x14ac:dyDescent="0.3">
      <c r="A474" s="3" t="s">
        <v>547</v>
      </c>
      <c r="B474">
        <v>7552.8</v>
      </c>
    </row>
    <row r="475" spans="1:2" x14ac:dyDescent="0.3">
      <c r="A475" s="3" t="s">
        <v>549</v>
      </c>
      <c r="B475">
        <v>7550.3</v>
      </c>
    </row>
    <row r="476" spans="1:2" x14ac:dyDescent="0.3">
      <c r="A476" s="3" t="s">
        <v>551</v>
      </c>
      <c r="B476">
        <v>7543.1</v>
      </c>
    </row>
    <row r="477" spans="1:2" x14ac:dyDescent="0.3">
      <c r="A477" s="3" t="s">
        <v>552</v>
      </c>
      <c r="B477">
        <v>7503.2</v>
      </c>
    </row>
    <row r="478" spans="1:2" x14ac:dyDescent="0.3">
      <c r="A478" s="3" t="s">
        <v>553</v>
      </c>
      <c r="B478">
        <v>7486.2</v>
      </c>
    </row>
    <row r="479" spans="1:2" x14ac:dyDescent="0.3">
      <c r="A479" s="3" t="s">
        <v>554</v>
      </c>
      <c r="B479">
        <v>7485.1</v>
      </c>
    </row>
    <row r="480" spans="1:2" x14ac:dyDescent="0.3">
      <c r="A480" s="3" t="s">
        <v>555</v>
      </c>
      <c r="B480">
        <v>7467.3</v>
      </c>
    </row>
    <row r="481" spans="1:2" x14ac:dyDescent="0.3">
      <c r="A481" s="3" t="s">
        <v>556</v>
      </c>
      <c r="B481">
        <v>7453.2</v>
      </c>
    </row>
    <row r="482" spans="1:2" x14ac:dyDescent="0.3">
      <c r="A482" s="3" t="s">
        <v>557</v>
      </c>
      <c r="B482">
        <v>7450.6</v>
      </c>
    </row>
    <row r="483" spans="1:2" x14ac:dyDescent="0.3">
      <c r="A483" s="3" t="s">
        <v>558</v>
      </c>
      <c r="B483">
        <v>7431.9</v>
      </c>
    </row>
    <row r="484" spans="1:2" x14ac:dyDescent="0.3">
      <c r="A484" s="3" t="s">
        <v>559</v>
      </c>
      <c r="B484">
        <v>7423.5</v>
      </c>
    </row>
    <row r="485" spans="1:2" x14ac:dyDescent="0.3">
      <c r="A485" s="3" t="s">
        <v>560</v>
      </c>
      <c r="B485">
        <v>7416.8</v>
      </c>
    </row>
    <row r="486" spans="1:2" x14ac:dyDescent="0.3">
      <c r="A486" s="3" t="s">
        <v>561</v>
      </c>
      <c r="B486">
        <v>7405.6</v>
      </c>
    </row>
    <row r="487" spans="1:2" x14ac:dyDescent="0.3">
      <c r="A487" s="3" t="s">
        <v>562</v>
      </c>
      <c r="B487">
        <v>7388.4</v>
      </c>
    </row>
    <row r="488" spans="1:2" x14ac:dyDescent="0.3">
      <c r="A488" s="3" t="s">
        <v>563</v>
      </c>
      <c r="B488">
        <v>7387.8</v>
      </c>
    </row>
    <row r="489" spans="1:2" x14ac:dyDescent="0.3">
      <c r="A489" s="3" t="s">
        <v>564</v>
      </c>
      <c r="B489">
        <v>7377.9</v>
      </c>
    </row>
    <row r="490" spans="1:2" x14ac:dyDescent="0.3">
      <c r="A490" s="3" t="s">
        <v>565</v>
      </c>
      <c r="B490">
        <v>7352.6</v>
      </c>
    </row>
    <row r="491" spans="1:2" x14ac:dyDescent="0.3">
      <c r="A491" s="3" t="s">
        <v>566</v>
      </c>
      <c r="B491">
        <v>7347.9</v>
      </c>
    </row>
    <row r="492" spans="1:2" x14ac:dyDescent="0.3">
      <c r="A492" s="3" t="s">
        <v>567</v>
      </c>
      <c r="B492">
        <v>7337.5</v>
      </c>
    </row>
    <row r="493" spans="1:2" x14ac:dyDescent="0.3">
      <c r="A493" s="3" t="s">
        <v>568</v>
      </c>
      <c r="B493">
        <v>7335.2</v>
      </c>
    </row>
    <row r="494" spans="1:2" x14ac:dyDescent="0.3">
      <c r="A494" s="3" t="s">
        <v>570</v>
      </c>
      <c r="B494">
        <v>7326.6</v>
      </c>
    </row>
    <row r="495" spans="1:2" x14ac:dyDescent="0.3">
      <c r="A495" s="3" t="s">
        <v>571</v>
      </c>
      <c r="B495">
        <v>7313.2</v>
      </c>
    </row>
    <row r="496" spans="1:2" x14ac:dyDescent="0.3">
      <c r="A496" s="3" t="s">
        <v>572</v>
      </c>
      <c r="B496">
        <v>7286.8</v>
      </c>
    </row>
    <row r="497" spans="1:2" x14ac:dyDescent="0.3">
      <c r="A497" s="3" t="s">
        <v>574</v>
      </c>
      <c r="B497">
        <v>7277.6</v>
      </c>
    </row>
    <row r="498" spans="1:2" x14ac:dyDescent="0.3">
      <c r="A498" s="3" t="s">
        <v>575</v>
      </c>
      <c r="B498">
        <v>7256.2</v>
      </c>
    </row>
    <row r="499" spans="1:2" x14ac:dyDescent="0.3">
      <c r="A499" s="3" t="s">
        <v>576</v>
      </c>
      <c r="B499">
        <v>7252.1</v>
      </c>
    </row>
    <row r="500" spans="1:2" x14ac:dyDescent="0.3">
      <c r="A500" s="3" t="s">
        <v>577</v>
      </c>
      <c r="B500">
        <v>7239.7</v>
      </c>
    </row>
    <row r="501" spans="1:2" x14ac:dyDescent="0.3">
      <c r="A501" s="3" t="s">
        <v>578</v>
      </c>
      <c r="B501">
        <v>7237.6</v>
      </c>
    </row>
    <row r="502" spans="1:2" x14ac:dyDescent="0.3">
      <c r="A502" s="3" t="s">
        <v>579</v>
      </c>
      <c r="B502">
        <v>7209.6</v>
      </c>
    </row>
    <row r="503" spans="1:2" x14ac:dyDescent="0.3">
      <c r="A503" s="3" t="s">
        <v>580</v>
      </c>
      <c r="B503">
        <v>7192.6</v>
      </c>
    </row>
    <row r="504" spans="1:2" x14ac:dyDescent="0.3">
      <c r="A504" s="3" t="s">
        <v>581</v>
      </c>
      <c r="B504">
        <v>7182.1</v>
      </c>
    </row>
    <row r="505" spans="1:2" x14ac:dyDescent="0.3">
      <c r="A505" s="3" t="s">
        <v>582</v>
      </c>
      <c r="B505">
        <v>7123.4</v>
      </c>
    </row>
    <row r="506" spans="1:2" x14ac:dyDescent="0.3">
      <c r="A506" s="3" t="s">
        <v>583</v>
      </c>
      <c r="B506">
        <v>7114.1</v>
      </c>
    </row>
    <row r="507" spans="1:2" x14ac:dyDescent="0.3">
      <c r="A507" s="3" t="s">
        <v>584</v>
      </c>
      <c r="B507">
        <v>7073.7</v>
      </c>
    </row>
    <row r="508" spans="1:2" x14ac:dyDescent="0.3">
      <c r="A508" s="3" t="s">
        <v>585</v>
      </c>
      <c r="B508">
        <v>7061.3</v>
      </c>
    </row>
    <row r="509" spans="1:2" x14ac:dyDescent="0.3">
      <c r="A509" s="3" t="s">
        <v>586</v>
      </c>
      <c r="B509">
        <v>7059.2</v>
      </c>
    </row>
    <row r="510" spans="1:2" x14ac:dyDescent="0.3">
      <c r="A510" s="3" t="s">
        <v>587</v>
      </c>
      <c r="B510">
        <v>7059.2</v>
      </c>
    </row>
    <row r="511" spans="1:2" x14ac:dyDescent="0.3">
      <c r="A511" s="3" t="s">
        <v>588</v>
      </c>
      <c r="B511">
        <v>7048.5</v>
      </c>
    </row>
    <row r="512" spans="1:2" x14ac:dyDescent="0.3">
      <c r="A512" s="3" t="s">
        <v>589</v>
      </c>
      <c r="B512">
        <v>7034.1</v>
      </c>
    </row>
    <row r="513" spans="1:2" x14ac:dyDescent="0.3">
      <c r="A513" s="3" t="s">
        <v>590</v>
      </c>
      <c r="B513">
        <v>7029.1</v>
      </c>
    </row>
    <row r="514" spans="1:2" x14ac:dyDescent="0.3">
      <c r="A514" s="3" t="s">
        <v>591</v>
      </c>
      <c r="B514">
        <v>7018.9</v>
      </c>
    </row>
    <row r="515" spans="1:2" x14ac:dyDescent="0.3">
      <c r="A515" s="3" t="s">
        <v>593</v>
      </c>
      <c r="B515">
        <v>6976.4</v>
      </c>
    </row>
    <row r="516" spans="1:2" x14ac:dyDescent="0.3">
      <c r="A516" s="3" t="s">
        <v>594</v>
      </c>
      <c r="B516">
        <v>6972</v>
      </c>
    </row>
    <row r="517" spans="1:2" x14ac:dyDescent="0.3">
      <c r="A517" s="3" t="s">
        <v>600</v>
      </c>
      <c r="B517">
        <v>8408805.1000000015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Spotify Streaming Performance D</vt:lpstr>
      <vt:lpstr>Sum,AvgStrm+collab%+CntOfArtist</vt:lpstr>
      <vt:lpstr>Stream Per Artist</vt:lpstr>
      <vt:lpstr>Stream Per Genre</vt:lpstr>
      <vt:lpstr>Top Artists</vt:lpstr>
      <vt:lpstr>Stream Per Country</vt:lpstr>
      <vt:lpstr>Group vs Solo Analysis</vt:lpstr>
      <vt:lpstr>Year Analysis</vt:lpstr>
      <vt:lpstr>Language based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Pitale, Akshaj</cp:lastModifiedBy>
  <dcterms:created xsi:type="dcterms:W3CDTF">2026-08-26T04:29:40Z</dcterms:created>
  <dcterms:modified xsi:type="dcterms:W3CDTF">2026-10-06T05:28:01Z</dcterms:modified>
</cp:coreProperties>
</file>